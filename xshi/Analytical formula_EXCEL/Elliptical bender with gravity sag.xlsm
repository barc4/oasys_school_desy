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Dropbox\APS-U\Beamline design scripts\Mirror bender\"/>
    </mc:Choice>
  </mc:AlternateContent>
  <xr:revisionPtr revIDLastSave="0" documentId="13_ncr:1_{7E60F06F-C25C-406E-AE3C-8E48043DA99E}" xr6:coauthVersionLast="47" xr6:coauthVersionMax="47" xr10:uidLastSave="{00000000-0000-0000-0000-000000000000}"/>
  <bookViews>
    <workbookView xWindow="-80" yWindow="0" windowWidth="12960" windowHeight="15360" tabRatio="856" xr2:uid="{00000000-000D-0000-FFFF-FFFF00000000}"/>
  </bookViews>
  <sheets>
    <sheet name="CALCULATIONS" sheetId="13" r:id="rId1"/>
    <sheet name="DERIVATION OF EQUATIONS" sheetId="40" r:id="rId2"/>
  </sheets>
  <definedNames>
    <definedName name="_MailOriginal" localSheetId="0">CALCULATIONS!#REF!</definedName>
    <definedName name="solver_adj" localSheetId="0" hidden="1">CALCULATIONS!$O$6,CALCULATIONS!$O$8,CALCULATIONS!$O$9</definedName>
    <definedName name="solver_cvg" localSheetId="0" hidden="1">0.00001</definedName>
    <definedName name="solver_drv" localSheetId="0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1" localSheetId="0" hidden="1">CALCULATIONS!$O$6</definedName>
    <definedName name="solver_lhs2" localSheetId="0" hidden="1">CALCULATIONS!$O$6</definedName>
    <definedName name="solver_lhs3" localSheetId="0" hidden="1">CALCULATIONS!$O$8</definedName>
    <definedName name="solver_lhs4" localSheetId="0" hidden="1">CALCULATIONS!$O$8</definedName>
    <definedName name="solver_lhs5" localSheetId="0" hidden="1">CALCULATIONS!$O$9</definedName>
    <definedName name="solver_lhs6" localSheetId="0" hidden="1">CALCULATIONS!$O$9</definedName>
    <definedName name="solver_lhs7" localSheetId="0" hidden="1">CALCULATIONS!$Q$5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2</definedName>
    <definedName name="solver_nod" localSheetId="0" hidden="1">2147483647</definedName>
    <definedName name="solver_num" localSheetId="0" hidden="1">6</definedName>
    <definedName name="solver_num" localSheetId="1" hidden="1">0</definedName>
    <definedName name="solver_nwt" localSheetId="0" hidden="1">1</definedName>
    <definedName name="solver_opt" localSheetId="0" hidden="1">CALCULATIONS!$S$14</definedName>
    <definedName name="solver_opt" localSheetId="1" hidden="1">'DERIVATION OF EQUATIONS'!$A$1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1</definedName>
    <definedName name="solver_rhs1" localSheetId="0" hidden="1">CALCULATIONS!$S$6</definedName>
    <definedName name="solver_rhs2" localSheetId="0" hidden="1">CALCULATIONS!$Q$6</definedName>
    <definedName name="solver_rhs3" localSheetId="0" hidden="1">CALCULATIONS!$S$8</definedName>
    <definedName name="solver_rhs4" localSheetId="0" hidden="1">CALCULATIONS!$Q$8</definedName>
    <definedName name="solver_rhs5" localSheetId="0" hidden="1">CALCULATIONS!$S$9</definedName>
    <definedName name="solver_rhs6" localSheetId="0" hidden="1">CALCULATIONS!$Q$9</definedName>
    <definedName name="solver_rhs7" localSheetId="0" hidden="1">12356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4" i="13" l="1"/>
  <c r="AG30" i="13" l="1"/>
  <c r="AB30" i="13" l="1"/>
  <c r="AD29" i="13"/>
  <c r="AD28" i="13"/>
  <c r="AB23" i="13"/>
  <c r="AD22" i="13"/>
  <c r="AD21" i="13"/>
  <c r="AD30" i="13" l="1"/>
  <c r="AD23" i="13"/>
  <c r="B31" i="13"/>
  <c r="AD13" i="13" l="1"/>
  <c r="AD12" i="13"/>
  <c r="AD6" i="13"/>
  <c r="AD5" i="13"/>
  <c r="AB7" i="13"/>
  <c r="AD7" i="13" l="1"/>
  <c r="AD14" i="13"/>
  <c r="O7" i="13" l="1"/>
  <c r="R10" i="13" l="1"/>
  <c r="S5" i="13" l="1"/>
  <c r="Q4" i="13"/>
  <c r="O10" i="13" l="1"/>
  <c r="Q5" i="13" l="1"/>
  <c r="O11" i="13"/>
  <c r="E25" i="13" l="1"/>
  <c r="O24" i="13"/>
  <c r="O12" i="13"/>
  <c r="O15" i="13"/>
  <c r="O14" i="13"/>
  <c r="O23" i="13"/>
  <c r="E31" i="13" l="1"/>
  <c r="E39" i="13"/>
  <c r="E47" i="13"/>
  <c r="E55" i="13"/>
  <c r="E63" i="13"/>
  <c r="E71" i="13"/>
  <c r="E79" i="13"/>
  <c r="E87" i="13"/>
  <c r="E95" i="13"/>
  <c r="E103" i="13"/>
  <c r="E111" i="13"/>
  <c r="E119" i="13"/>
  <c r="E127" i="13"/>
  <c r="E135" i="13"/>
  <c r="E143" i="13"/>
  <c r="E151" i="13"/>
  <c r="E159" i="13"/>
  <c r="E167" i="13"/>
  <c r="E175" i="13"/>
  <c r="E183" i="13"/>
  <c r="E191" i="13"/>
  <c r="E199" i="13"/>
  <c r="E207" i="13"/>
  <c r="E215" i="13"/>
  <c r="E223" i="13"/>
  <c r="E231" i="13"/>
  <c r="E239" i="13"/>
  <c r="E247" i="13"/>
  <c r="E255" i="13"/>
  <c r="E263" i="13"/>
  <c r="E271" i="13"/>
  <c r="E279" i="13"/>
  <c r="E287" i="13"/>
  <c r="E295" i="13"/>
  <c r="E303" i="13"/>
  <c r="E311" i="13"/>
  <c r="E319" i="13"/>
  <c r="E327" i="13"/>
  <c r="E335" i="13"/>
  <c r="E343" i="13"/>
  <c r="E351" i="13"/>
  <c r="E359" i="13"/>
  <c r="E367" i="13"/>
  <c r="E375" i="13"/>
  <c r="E383" i="13"/>
  <c r="E391" i="13"/>
  <c r="E399" i="13"/>
  <c r="E407" i="13"/>
  <c r="E415" i="13"/>
  <c r="E423" i="13"/>
  <c r="E30" i="13"/>
  <c r="E328" i="13"/>
  <c r="E344" i="13"/>
  <c r="E360" i="13"/>
  <c r="E368" i="13"/>
  <c r="E384" i="13"/>
  <c r="E400" i="13"/>
  <c r="E408" i="13"/>
  <c r="E424" i="13"/>
  <c r="E393" i="13"/>
  <c r="E425" i="13"/>
  <c r="E331" i="13"/>
  <c r="E387" i="13"/>
  <c r="E427" i="13"/>
  <c r="E68" i="13"/>
  <c r="E132" i="13"/>
  <c r="E188" i="13"/>
  <c r="E244" i="13"/>
  <c r="E284" i="13"/>
  <c r="E332" i="13"/>
  <c r="E372" i="13"/>
  <c r="E420" i="13"/>
  <c r="E309" i="13"/>
  <c r="E373" i="13"/>
  <c r="E413" i="13"/>
  <c r="E32" i="13"/>
  <c r="E40" i="13"/>
  <c r="E48" i="13"/>
  <c r="E56" i="13"/>
  <c r="E64" i="13"/>
  <c r="E72" i="13"/>
  <c r="E80" i="13"/>
  <c r="E88" i="13"/>
  <c r="E96" i="13"/>
  <c r="E104" i="13"/>
  <c r="E112" i="13"/>
  <c r="E120" i="13"/>
  <c r="E128" i="13"/>
  <c r="E136" i="13"/>
  <c r="E144" i="13"/>
  <c r="E152" i="13"/>
  <c r="E160" i="13"/>
  <c r="E168" i="13"/>
  <c r="E176" i="13"/>
  <c r="E184" i="13"/>
  <c r="E192" i="13"/>
  <c r="E200" i="13"/>
  <c r="E208" i="13"/>
  <c r="E216" i="13"/>
  <c r="E224" i="13"/>
  <c r="E232" i="13"/>
  <c r="E240" i="13"/>
  <c r="E248" i="13"/>
  <c r="E256" i="13"/>
  <c r="E264" i="13"/>
  <c r="E272" i="13"/>
  <c r="E280" i="13"/>
  <c r="E288" i="13"/>
  <c r="E296" i="13"/>
  <c r="E304" i="13"/>
  <c r="E312" i="13"/>
  <c r="E320" i="13"/>
  <c r="E336" i="13"/>
  <c r="E352" i="13"/>
  <c r="E376" i="13"/>
  <c r="E392" i="13"/>
  <c r="E416" i="13"/>
  <c r="E409" i="13"/>
  <c r="E339" i="13"/>
  <c r="E403" i="13"/>
  <c r="E76" i="13"/>
  <c r="E172" i="13"/>
  <c r="E236" i="13"/>
  <c r="E292" i="13"/>
  <c r="E356" i="13"/>
  <c r="E412" i="13"/>
  <c r="E333" i="13"/>
  <c r="E397" i="13"/>
  <c r="E33" i="13"/>
  <c r="E41" i="13"/>
  <c r="E49" i="13"/>
  <c r="E57" i="13"/>
  <c r="E65" i="13"/>
  <c r="E73" i="13"/>
  <c r="E81" i="13"/>
  <c r="E89" i="13"/>
  <c r="E97" i="13"/>
  <c r="E105" i="13"/>
  <c r="E113" i="13"/>
  <c r="E121" i="13"/>
  <c r="E129" i="13"/>
  <c r="E137" i="13"/>
  <c r="E145" i="13"/>
  <c r="E153" i="13"/>
  <c r="E161" i="13"/>
  <c r="E169" i="13"/>
  <c r="E177" i="13"/>
  <c r="E185" i="13"/>
  <c r="E193" i="13"/>
  <c r="E201" i="13"/>
  <c r="E209" i="13"/>
  <c r="E217" i="13"/>
  <c r="E225" i="13"/>
  <c r="E233" i="13"/>
  <c r="E241" i="13"/>
  <c r="E249" i="13"/>
  <c r="E257" i="13"/>
  <c r="E265" i="13"/>
  <c r="E273" i="13"/>
  <c r="E281" i="13"/>
  <c r="E289" i="13"/>
  <c r="E297" i="13"/>
  <c r="E305" i="13"/>
  <c r="E313" i="13"/>
  <c r="E321" i="13"/>
  <c r="E329" i="13"/>
  <c r="E337" i="13"/>
  <c r="E345" i="13"/>
  <c r="E353" i="13"/>
  <c r="E361" i="13"/>
  <c r="E369" i="13"/>
  <c r="E377" i="13"/>
  <c r="E385" i="13"/>
  <c r="E417" i="13"/>
  <c r="E323" i="13"/>
  <c r="E379" i="13"/>
  <c r="E52" i="13"/>
  <c r="E196" i="13"/>
  <c r="E260" i="13"/>
  <c r="E316" i="13"/>
  <c r="E380" i="13"/>
  <c r="E325" i="13"/>
  <c r="E381" i="13"/>
  <c r="E34" i="13"/>
  <c r="E42" i="13"/>
  <c r="E50" i="13"/>
  <c r="E58" i="13"/>
  <c r="E66" i="13"/>
  <c r="E74" i="13"/>
  <c r="E82" i="13"/>
  <c r="E90" i="13"/>
  <c r="E98" i="13"/>
  <c r="E106" i="13"/>
  <c r="E114" i="13"/>
  <c r="E122" i="13"/>
  <c r="E130" i="13"/>
  <c r="E138" i="13"/>
  <c r="E146" i="13"/>
  <c r="E154" i="13"/>
  <c r="E162" i="13"/>
  <c r="E170" i="13"/>
  <c r="E178" i="13"/>
  <c r="E186" i="13"/>
  <c r="E194" i="13"/>
  <c r="E202" i="13"/>
  <c r="E210" i="13"/>
  <c r="E218" i="13"/>
  <c r="E226" i="13"/>
  <c r="E234" i="13"/>
  <c r="E242" i="13"/>
  <c r="E250" i="13"/>
  <c r="E258" i="13"/>
  <c r="E266" i="13"/>
  <c r="E274" i="13"/>
  <c r="E282" i="13"/>
  <c r="E290" i="13"/>
  <c r="E298" i="13"/>
  <c r="E306" i="13"/>
  <c r="E314" i="13"/>
  <c r="E322" i="13"/>
  <c r="E330" i="13"/>
  <c r="E338" i="13"/>
  <c r="E346" i="13"/>
  <c r="E354" i="13"/>
  <c r="E362" i="13"/>
  <c r="E370" i="13"/>
  <c r="E378" i="13"/>
  <c r="E386" i="13"/>
  <c r="E394" i="13"/>
  <c r="E402" i="13"/>
  <c r="E410" i="13"/>
  <c r="E418" i="13"/>
  <c r="E426" i="13"/>
  <c r="E227" i="13"/>
  <c r="E235" i="13"/>
  <c r="E243" i="13"/>
  <c r="E251" i="13"/>
  <c r="E259" i="13"/>
  <c r="E267" i="13"/>
  <c r="E275" i="13"/>
  <c r="E283" i="13"/>
  <c r="E299" i="13"/>
  <c r="E315" i="13"/>
  <c r="E355" i="13"/>
  <c r="E363" i="13"/>
  <c r="E411" i="13"/>
  <c r="E36" i="13"/>
  <c r="E156" i="13"/>
  <c r="E220" i="13"/>
  <c r="E276" i="13"/>
  <c r="E324" i="13"/>
  <c r="E364" i="13"/>
  <c r="E404" i="13"/>
  <c r="E317" i="13"/>
  <c r="E349" i="13"/>
  <c r="E405" i="13"/>
  <c r="E35" i="13"/>
  <c r="E43" i="13"/>
  <c r="E51" i="13"/>
  <c r="E59" i="13"/>
  <c r="E67" i="13"/>
  <c r="E75" i="13"/>
  <c r="E83" i="13"/>
  <c r="E91" i="13"/>
  <c r="E99" i="13"/>
  <c r="E107" i="13"/>
  <c r="E115" i="13"/>
  <c r="E123" i="13"/>
  <c r="E131" i="13"/>
  <c r="E139" i="13"/>
  <c r="E147" i="13"/>
  <c r="E155" i="13"/>
  <c r="E163" i="13"/>
  <c r="E171" i="13"/>
  <c r="E179" i="13"/>
  <c r="E187" i="13"/>
  <c r="E195" i="13"/>
  <c r="E203" i="13"/>
  <c r="E211" i="13"/>
  <c r="E219" i="13"/>
  <c r="E291" i="13"/>
  <c r="E347" i="13"/>
  <c r="E371" i="13"/>
  <c r="E419" i="13"/>
  <c r="E60" i="13"/>
  <c r="E84" i="13"/>
  <c r="E100" i="13"/>
  <c r="E116" i="13"/>
  <c r="E140" i="13"/>
  <c r="E164" i="13"/>
  <c r="E204" i="13"/>
  <c r="E228" i="13"/>
  <c r="E268" i="13"/>
  <c r="E308" i="13"/>
  <c r="E340" i="13"/>
  <c r="E388" i="13"/>
  <c r="E428" i="13"/>
  <c r="E341" i="13"/>
  <c r="E389" i="13"/>
  <c r="E429" i="13"/>
  <c r="E37" i="13"/>
  <c r="E45" i="13"/>
  <c r="E53" i="13"/>
  <c r="E61" i="13"/>
  <c r="E69" i="13"/>
  <c r="E77" i="13"/>
  <c r="E85" i="13"/>
  <c r="E93" i="13"/>
  <c r="E101" i="13"/>
  <c r="E109" i="13"/>
  <c r="E117" i="13"/>
  <c r="E125" i="13"/>
  <c r="E133" i="13"/>
  <c r="E141" i="13"/>
  <c r="E149" i="13"/>
  <c r="E157" i="13"/>
  <c r="E165" i="13"/>
  <c r="E173" i="13"/>
  <c r="E181" i="13"/>
  <c r="E189" i="13"/>
  <c r="E197" i="13"/>
  <c r="E205" i="13"/>
  <c r="E213" i="13"/>
  <c r="E221" i="13"/>
  <c r="E229" i="13"/>
  <c r="E237" i="13"/>
  <c r="E245" i="13"/>
  <c r="E253" i="13"/>
  <c r="E261" i="13"/>
  <c r="E269" i="13"/>
  <c r="E277" i="13"/>
  <c r="E285" i="13"/>
  <c r="E301" i="13"/>
  <c r="E357" i="13"/>
  <c r="E38" i="13"/>
  <c r="E46" i="13"/>
  <c r="E54" i="13"/>
  <c r="E62" i="13"/>
  <c r="E70" i="13"/>
  <c r="E78" i="13"/>
  <c r="E86" i="13"/>
  <c r="E94" i="13"/>
  <c r="E102" i="13"/>
  <c r="E110" i="13"/>
  <c r="E118" i="13"/>
  <c r="E126" i="13"/>
  <c r="E134" i="13"/>
  <c r="E142" i="13"/>
  <c r="E150" i="13"/>
  <c r="E158" i="13"/>
  <c r="E166" i="13"/>
  <c r="E174" i="13"/>
  <c r="E182" i="13"/>
  <c r="E190" i="13"/>
  <c r="E198" i="13"/>
  <c r="E206" i="13"/>
  <c r="E214" i="13"/>
  <c r="E222" i="13"/>
  <c r="E230" i="13"/>
  <c r="E238" i="13"/>
  <c r="E246" i="13"/>
  <c r="E254" i="13"/>
  <c r="E262" i="13"/>
  <c r="E270" i="13"/>
  <c r="E278" i="13"/>
  <c r="E286" i="13"/>
  <c r="E294" i="13"/>
  <c r="E302" i="13"/>
  <c r="E310" i="13"/>
  <c r="E318" i="13"/>
  <c r="E326" i="13"/>
  <c r="E334" i="13"/>
  <c r="E342" i="13"/>
  <c r="E350" i="13"/>
  <c r="E358" i="13"/>
  <c r="E366" i="13"/>
  <c r="E374" i="13"/>
  <c r="E382" i="13"/>
  <c r="E390" i="13"/>
  <c r="E398" i="13"/>
  <c r="E406" i="13"/>
  <c r="E414" i="13"/>
  <c r="E422" i="13"/>
  <c r="E430" i="13"/>
  <c r="E401" i="13"/>
  <c r="E307" i="13"/>
  <c r="E395" i="13"/>
  <c r="E44" i="13"/>
  <c r="E92" i="13"/>
  <c r="E108" i="13"/>
  <c r="E124" i="13"/>
  <c r="E148" i="13"/>
  <c r="E180" i="13"/>
  <c r="E212" i="13"/>
  <c r="E252" i="13"/>
  <c r="E300" i="13"/>
  <c r="E348" i="13"/>
  <c r="E396" i="13"/>
  <c r="E293" i="13"/>
  <c r="E365" i="13"/>
  <c r="E421" i="13"/>
  <c r="O19" i="13"/>
  <c r="O21" i="13" s="1"/>
  <c r="O13" i="13"/>
  <c r="O18" i="13" s="1"/>
  <c r="O20" i="13"/>
  <c r="O22" i="13" l="1"/>
  <c r="O16" i="13" s="1"/>
  <c r="O17" i="13" l="1"/>
  <c r="C30" i="13"/>
  <c r="N30" i="13"/>
  <c r="M30" i="13"/>
  <c r="F19" i="13"/>
  <c r="O30" i="13" l="1"/>
  <c r="L18" i="13"/>
  <c r="L19" i="13"/>
  <c r="C31" i="13"/>
  <c r="N31" i="13"/>
  <c r="N32" i="13" s="1"/>
  <c r="N33" i="13" s="1"/>
  <c r="N34" i="13" s="1"/>
  <c r="N35" i="13" s="1"/>
  <c r="N36" i="13" s="1"/>
  <c r="N37" i="13" s="1"/>
  <c r="N38" i="13" s="1"/>
  <c r="N39" i="13" s="1"/>
  <c r="N40" i="13" s="1"/>
  <c r="N41" i="13" s="1"/>
  <c r="N42" i="13" s="1"/>
  <c r="N43" i="13" s="1"/>
  <c r="N44" i="13" s="1"/>
  <c r="N45" i="13" s="1"/>
  <c r="N46" i="13" s="1"/>
  <c r="N47" i="13" s="1"/>
  <c r="N48" i="13" s="1"/>
  <c r="N49" i="13" s="1"/>
  <c r="N50" i="13" s="1"/>
  <c r="N51" i="13" s="1"/>
  <c r="N52" i="13" s="1"/>
  <c r="N53" i="13" s="1"/>
  <c r="N54" i="13" s="1"/>
  <c r="N55" i="13" s="1"/>
  <c r="N56" i="13" s="1"/>
  <c r="N57" i="13" s="1"/>
  <c r="N58" i="13" s="1"/>
  <c r="N59" i="13" s="1"/>
  <c r="N60" i="13" s="1"/>
  <c r="N61" i="13" s="1"/>
  <c r="N62" i="13" s="1"/>
  <c r="N63" i="13" s="1"/>
  <c r="N64" i="13" s="1"/>
  <c r="N65" i="13" s="1"/>
  <c r="N66" i="13" s="1"/>
  <c r="N67" i="13" s="1"/>
  <c r="N68" i="13" s="1"/>
  <c r="N69" i="13" s="1"/>
  <c r="N70" i="13" s="1"/>
  <c r="N71" i="13" s="1"/>
  <c r="N72" i="13" s="1"/>
  <c r="N73" i="13" s="1"/>
  <c r="N74" i="13" s="1"/>
  <c r="N75" i="13" s="1"/>
  <c r="N76" i="13" s="1"/>
  <c r="N77" i="13" s="1"/>
  <c r="N78" i="13" s="1"/>
  <c r="N79" i="13" s="1"/>
  <c r="N80" i="13" s="1"/>
  <c r="N81" i="13" s="1"/>
  <c r="N82" i="13" s="1"/>
  <c r="N83" i="13" s="1"/>
  <c r="N84" i="13" s="1"/>
  <c r="N85" i="13" s="1"/>
  <c r="N86" i="13" s="1"/>
  <c r="N87" i="13" s="1"/>
  <c r="N88" i="13" s="1"/>
  <c r="N89" i="13" s="1"/>
  <c r="N90" i="13" s="1"/>
  <c r="N91" i="13" s="1"/>
  <c r="N92" i="13" s="1"/>
  <c r="N93" i="13" s="1"/>
  <c r="N94" i="13" s="1"/>
  <c r="N95" i="13" s="1"/>
  <c r="N96" i="13" s="1"/>
  <c r="N97" i="13" s="1"/>
  <c r="N98" i="13" s="1"/>
  <c r="N99" i="13" s="1"/>
  <c r="N100" i="13" s="1"/>
  <c r="N101" i="13" s="1"/>
  <c r="N102" i="13" s="1"/>
  <c r="N103" i="13" s="1"/>
  <c r="N104" i="13" s="1"/>
  <c r="N105" i="13" s="1"/>
  <c r="N106" i="13" s="1"/>
  <c r="N107" i="13" s="1"/>
  <c r="N108" i="13" s="1"/>
  <c r="N109" i="13" s="1"/>
  <c r="N110" i="13" s="1"/>
  <c r="N111" i="13" s="1"/>
  <c r="N112" i="13" s="1"/>
  <c r="N113" i="13" s="1"/>
  <c r="N114" i="13" s="1"/>
  <c r="N115" i="13" s="1"/>
  <c r="N116" i="13" s="1"/>
  <c r="N117" i="13" s="1"/>
  <c r="N118" i="13" s="1"/>
  <c r="N119" i="13" s="1"/>
  <c r="N120" i="13" s="1"/>
  <c r="N121" i="13" s="1"/>
  <c r="N122" i="13" s="1"/>
  <c r="N123" i="13" s="1"/>
  <c r="N124" i="13" s="1"/>
  <c r="N125" i="13" s="1"/>
  <c r="N126" i="13" s="1"/>
  <c r="N127" i="13" s="1"/>
  <c r="N128" i="13" s="1"/>
  <c r="N129" i="13" s="1"/>
  <c r="N130" i="13" s="1"/>
  <c r="N131" i="13" s="1"/>
  <c r="N132" i="13" s="1"/>
  <c r="N133" i="13" s="1"/>
  <c r="N134" i="13" s="1"/>
  <c r="N135" i="13" s="1"/>
  <c r="N136" i="13" s="1"/>
  <c r="N137" i="13" s="1"/>
  <c r="N138" i="13" s="1"/>
  <c r="N139" i="13" s="1"/>
  <c r="N140" i="13" s="1"/>
  <c r="N141" i="13" s="1"/>
  <c r="N142" i="13" s="1"/>
  <c r="N143" i="13" s="1"/>
  <c r="N144" i="13" s="1"/>
  <c r="N145" i="13" s="1"/>
  <c r="N146" i="13" s="1"/>
  <c r="N147" i="13" s="1"/>
  <c r="N148" i="13" s="1"/>
  <c r="N149" i="13" s="1"/>
  <c r="N150" i="13" s="1"/>
  <c r="N151" i="13" s="1"/>
  <c r="N152" i="13" s="1"/>
  <c r="N153" i="13" s="1"/>
  <c r="N154" i="13" s="1"/>
  <c r="N155" i="13" s="1"/>
  <c r="N156" i="13" s="1"/>
  <c r="N157" i="13" s="1"/>
  <c r="N158" i="13" s="1"/>
  <c r="N159" i="13" s="1"/>
  <c r="N160" i="13" s="1"/>
  <c r="N161" i="13" s="1"/>
  <c r="N162" i="13" s="1"/>
  <c r="N163" i="13" s="1"/>
  <c r="N164" i="13" s="1"/>
  <c r="N165" i="13" s="1"/>
  <c r="N166" i="13" s="1"/>
  <c r="N167" i="13" s="1"/>
  <c r="N168" i="13" s="1"/>
  <c r="N169" i="13" s="1"/>
  <c r="N170" i="13" s="1"/>
  <c r="N171" i="13" s="1"/>
  <c r="N172" i="13" s="1"/>
  <c r="N173" i="13" s="1"/>
  <c r="N174" i="13" s="1"/>
  <c r="N175" i="13" s="1"/>
  <c r="N176" i="13" s="1"/>
  <c r="N177" i="13" s="1"/>
  <c r="N178" i="13" s="1"/>
  <c r="N179" i="13" s="1"/>
  <c r="N180" i="13" s="1"/>
  <c r="N181" i="13" s="1"/>
  <c r="N182" i="13" s="1"/>
  <c r="N183" i="13" s="1"/>
  <c r="N184" i="13" s="1"/>
  <c r="N185" i="13" s="1"/>
  <c r="N186" i="13" s="1"/>
  <c r="N187" i="13" s="1"/>
  <c r="N188" i="13" s="1"/>
  <c r="N189" i="13" s="1"/>
  <c r="N190" i="13" s="1"/>
  <c r="N191" i="13" s="1"/>
  <c r="N192" i="13" s="1"/>
  <c r="N193" i="13" s="1"/>
  <c r="N194" i="13" s="1"/>
  <c r="N195" i="13" s="1"/>
  <c r="N196" i="13" s="1"/>
  <c r="N197" i="13" s="1"/>
  <c r="N198" i="13" s="1"/>
  <c r="N199" i="13" s="1"/>
  <c r="N200" i="13" s="1"/>
  <c r="N201" i="13" s="1"/>
  <c r="N202" i="13" s="1"/>
  <c r="N203" i="13" s="1"/>
  <c r="N204" i="13" s="1"/>
  <c r="N205" i="13" s="1"/>
  <c r="N206" i="13" s="1"/>
  <c r="N207" i="13" s="1"/>
  <c r="N208" i="13" s="1"/>
  <c r="N209" i="13" s="1"/>
  <c r="N210" i="13" s="1"/>
  <c r="N211" i="13" s="1"/>
  <c r="N212" i="13" s="1"/>
  <c r="N213" i="13" s="1"/>
  <c r="N214" i="13" s="1"/>
  <c r="N215" i="13" s="1"/>
  <c r="N216" i="13" s="1"/>
  <c r="N217" i="13" s="1"/>
  <c r="N218" i="13" s="1"/>
  <c r="N219" i="13" s="1"/>
  <c r="N220" i="13" s="1"/>
  <c r="N221" i="13" s="1"/>
  <c r="N222" i="13" s="1"/>
  <c r="N223" i="13" s="1"/>
  <c r="N224" i="13" s="1"/>
  <c r="N225" i="13" s="1"/>
  <c r="N226" i="13" s="1"/>
  <c r="N227" i="13" s="1"/>
  <c r="N228" i="13" s="1"/>
  <c r="N229" i="13" s="1"/>
  <c r="N230" i="13" s="1"/>
  <c r="N231" i="13" s="1"/>
  <c r="N232" i="13" s="1"/>
  <c r="N233" i="13" s="1"/>
  <c r="N234" i="13" s="1"/>
  <c r="N235" i="13" s="1"/>
  <c r="N236" i="13" s="1"/>
  <c r="N237" i="13" s="1"/>
  <c r="N238" i="13" s="1"/>
  <c r="N239" i="13" s="1"/>
  <c r="N240" i="13" s="1"/>
  <c r="N241" i="13" s="1"/>
  <c r="N242" i="13" s="1"/>
  <c r="N243" i="13" s="1"/>
  <c r="N244" i="13" s="1"/>
  <c r="N245" i="13" s="1"/>
  <c r="N246" i="13" s="1"/>
  <c r="N247" i="13" s="1"/>
  <c r="N248" i="13" s="1"/>
  <c r="N249" i="13" s="1"/>
  <c r="N250" i="13" s="1"/>
  <c r="N251" i="13" s="1"/>
  <c r="N252" i="13" s="1"/>
  <c r="N253" i="13" s="1"/>
  <c r="N254" i="13" s="1"/>
  <c r="N255" i="13" s="1"/>
  <c r="N256" i="13" s="1"/>
  <c r="N257" i="13" s="1"/>
  <c r="N258" i="13" s="1"/>
  <c r="N259" i="13" s="1"/>
  <c r="N260" i="13" s="1"/>
  <c r="N261" i="13" s="1"/>
  <c r="N262" i="13" s="1"/>
  <c r="N263" i="13" s="1"/>
  <c r="N264" i="13" s="1"/>
  <c r="N265" i="13" s="1"/>
  <c r="N266" i="13" s="1"/>
  <c r="N267" i="13" s="1"/>
  <c r="N268" i="13" s="1"/>
  <c r="N269" i="13" s="1"/>
  <c r="N270" i="13" s="1"/>
  <c r="N271" i="13" s="1"/>
  <c r="N272" i="13" s="1"/>
  <c r="N273" i="13" s="1"/>
  <c r="N274" i="13" s="1"/>
  <c r="N275" i="13" s="1"/>
  <c r="N276" i="13" s="1"/>
  <c r="N277" i="13" s="1"/>
  <c r="N278" i="13" s="1"/>
  <c r="N279" i="13" s="1"/>
  <c r="N280" i="13" s="1"/>
  <c r="N281" i="13" s="1"/>
  <c r="N282" i="13" s="1"/>
  <c r="N283" i="13" s="1"/>
  <c r="N284" i="13" s="1"/>
  <c r="N285" i="13" s="1"/>
  <c r="N286" i="13" s="1"/>
  <c r="N287" i="13" s="1"/>
  <c r="N288" i="13" s="1"/>
  <c r="N289" i="13" s="1"/>
  <c r="N290" i="13" s="1"/>
  <c r="N291" i="13" s="1"/>
  <c r="N292" i="13" s="1"/>
  <c r="N293" i="13" s="1"/>
  <c r="N294" i="13" s="1"/>
  <c r="N295" i="13" s="1"/>
  <c r="N296" i="13" s="1"/>
  <c r="N297" i="13" s="1"/>
  <c r="N298" i="13" s="1"/>
  <c r="N299" i="13" s="1"/>
  <c r="N300" i="13" s="1"/>
  <c r="N301" i="13" s="1"/>
  <c r="N302" i="13" s="1"/>
  <c r="N303" i="13" s="1"/>
  <c r="N304" i="13" s="1"/>
  <c r="N305" i="13" s="1"/>
  <c r="N306" i="13" s="1"/>
  <c r="N307" i="13" s="1"/>
  <c r="N308" i="13" s="1"/>
  <c r="N309" i="13" s="1"/>
  <c r="N310" i="13" s="1"/>
  <c r="N311" i="13" s="1"/>
  <c r="N312" i="13" s="1"/>
  <c r="N313" i="13" s="1"/>
  <c r="N314" i="13" s="1"/>
  <c r="N315" i="13" s="1"/>
  <c r="N316" i="13" s="1"/>
  <c r="N317" i="13" s="1"/>
  <c r="N318" i="13" s="1"/>
  <c r="N319" i="13" s="1"/>
  <c r="N320" i="13" s="1"/>
  <c r="N321" i="13" s="1"/>
  <c r="N322" i="13" s="1"/>
  <c r="N323" i="13" s="1"/>
  <c r="N324" i="13" s="1"/>
  <c r="N325" i="13" s="1"/>
  <c r="N326" i="13" s="1"/>
  <c r="N327" i="13" s="1"/>
  <c r="N328" i="13" s="1"/>
  <c r="N329" i="13" s="1"/>
  <c r="N330" i="13" s="1"/>
  <c r="N331" i="13" s="1"/>
  <c r="N332" i="13" s="1"/>
  <c r="N333" i="13" s="1"/>
  <c r="N334" i="13" s="1"/>
  <c r="N335" i="13" s="1"/>
  <c r="N336" i="13" s="1"/>
  <c r="N337" i="13" s="1"/>
  <c r="N338" i="13" s="1"/>
  <c r="N339" i="13" s="1"/>
  <c r="N340" i="13" s="1"/>
  <c r="N341" i="13" s="1"/>
  <c r="N342" i="13" s="1"/>
  <c r="N343" i="13" s="1"/>
  <c r="N344" i="13" s="1"/>
  <c r="N345" i="13" s="1"/>
  <c r="N346" i="13" s="1"/>
  <c r="N347" i="13" s="1"/>
  <c r="N348" i="13" s="1"/>
  <c r="N349" i="13" s="1"/>
  <c r="N350" i="13" s="1"/>
  <c r="N351" i="13" s="1"/>
  <c r="N352" i="13" s="1"/>
  <c r="N353" i="13" s="1"/>
  <c r="N354" i="13" s="1"/>
  <c r="N355" i="13" s="1"/>
  <c r="N356" i="13" s="1"/>
  <c r="N357" i="13" s="1"/>
  <c r="N358" i="13" s="1"/>
  <c r="N359" i="13" s="1"/>
  <c r="N360" i="13" s="1"/>
  <c r="N361" i="13" s="1"/>
  <c r="N362" i="13" s="1"/>
  <c r="N363" i="13" s="1"/>
  <c r="N364" i="13" s="1"/>
  <c r="N365" i="13" s="1"/>
  <c r="N366" i="13" s="1"/>
  <c r="N367" i="13" s="1"/>
  <c r="N368" i="13" s="1"/>
  <c r="N369" i="13" s="1"/>
  <c r="N370" i="13" s="1"/>
  <c r="N371" i="13" s="1"/>
  <c r="N372" i="13" s="1"/>
  <c r="N373" i="13" s="1"/>
  <c r="N374" i="13" s="1"/>
  <c r="N375" i="13" s="1"/>
  <c r="N376" i="13" s="1"/>
  <c r="N377" i="13" s="1"/>
  <c r="N378" i="13" s="1"/>
  <c r="N379" i="13" s="1"/>
  <c r="N380" i="13" s="1"/>
  <c r="N381" i="13" s="1"/>
  <c r="N382" i="13" s="1"/>
  <c r="N383" i="13" s="1"/>
  <c r="N384" i="13" s="1"/>
  <c r="N385" i="13" s="1"/>
  <c r="N386" i="13" s="1"/>
  <c r="N387" i="13" s="1"/>
  <c r="N388" i="13" s="1"/>
  <c r="N389" i="13" s="1"/>
  <c r="N390" i="13" s="1"/>
  <c r="N391" i="13" s="1"/>
  <c r="N392" i="13" s="1"/>
  <c r="N393" i="13" s="1"/>
  <c r="N394" i="13" s="1"/>
  <c r="N395" i="13" s="1"/>
  <c r="N396" i="13" s="1"/>
  <c r="N397" i="13" s="1"/>
  <c r="N398" i="13" s="1"/>
  <c r="N399" i="13" s="1"/>
  <c r="N400" i="13" s="1"/>
  <c r="N401" i="13" s="1"/>
  <c r="N402" i="13" s="1"/>
  <c r="N403" i="13" s="1"/>
  <c r="N404" i="13" s="1"/>
  <c r="N405" i="13" s="1"/>
  <c r="N406" i="13" s="1"/>
  <c r="N407" i="13" s="1"/>
  <c r="N408" i="13" s="1"/>
  <c r="N409" i="13" s="1"/>
  <c r="N410" i="13" s="1"/>
  <c r="N411" i="13" s="1"/>
  <c r="N412" i="13" s="1"/>
  <c r="N413" i="13" s="1"/>
  <c r="N414" i="13" s="1"/>
  <c r="N415" i="13" s="1"/>
  <c r="N416" i="13" s="1"/>
  <c r="N417" i="13" s="1"/>
  <c r="N418" i="13" s="1"/>
  <c r="N419" i="13" s="1"/>
  <c r="N420" i="13" s="1"/>
  <c r="N421" i="13" s="1"/>
  <c r="N422" i="13" s="1"/>
  <c r="N423" i="13" s="1"/>
  <c r="N424" i="13" s="1"/>
  <c r="N425" i="13" s="1"/>
  <c r="N426" i="13" s="1"/>
  <c r="N427" i="13" s="1"/>
  <c r="N428" i="13" s="1"/>
  <c r="N429" i="13" s="1"/>
  <c r="N430" i="13" s="1"/>
  <c r="M31" i="13"/>
  <c r="M32" i="13" s="1"/>
  <c r="M33" i="13" s="1"/>
  <c r="M34" i="13" s="1"/>
  <c r="M35" i="13" s="1"/>
  <c r="M36" i="13" s="1"/>
  <c r="M37" i="13" s="1"/>
  <c r="M38" i="13" s="1"/>
  <c r="M39" i="13" s="1"/>
  <c r="M40" i="13" s="1"/>
  <c r="M41" i="13" s="1"/>
  <c r="M42" i="13" s="1"/>
  <c r="M43" i="13" s="1"/>
  <c r="M44" i="13" s="1"/>
  <c r="M45" i="13" s="1"/>
  <c r="M46" i="13" s="1"/>
  <c r="M47" i="13" s="1"/>
  <c r="M48" i="13" s="1"/>
  <c r="M49" i="13" s="1"/>
  <c r="M50" i="13" s="1"/>
  <c r="M51" i="13" s="1"/>
  <c r="M52" i="13" s="1"/>
  <c r="M53" i="13" s="1"/>
  <c r="M54" i="13" s="1"/>
  <c r="M55" i="13" s="1"/>
  <c r="M56" i="13" s="1"/>
  <c r="M57" i="13" s="1"/>
  <c r="M58" i="13" s="1"/>
  <c r="M59" i="13" s="1"/>
  <c r="M60" i="13" s="1"/>
  <c r="M61" i="13" s="1"/>
  <c r="M62" i="13" s="1"/>
  <c r="M63" i="13" s="1"/>
  <c r="M64" i="13" s="1"/>
  <c r="M65" i="13" s="1"/>
  <c r="M66" i="13" s="1"/>
  <c r="M67" i="13" s="1"/>
  <c r="M68" i="13" s="1"/>
  <c r="M69" i="13" s="1"/>
  <c r="M70" i="13" s="1"/>
  <c r="M71" i="13" s="1"/>
  <c r="M72" i="13" s="1"/>
  <c r="M73" i="13" s="1"/>
  <c r="M74" i="13" s="1"/>
  <c r="M75" i="13" s="1"/>
  <c r="M76" i="13" s="1"/>
  <c r="M77" i="13" s="1"/>
  <c r="M78" i="13" s="1"/>
  <c r="M79" i="13" s="1"/>
  <c r="M80" i="13" s="1"/>
  <c r="M81" i="13" s="1"/>
  <c r="M82" i="13" s="1"/>
  <c r="M83" i="13" s="1"/>
  <c r="M84" i="13" s="1"/>
  <c r="M85" i="13" s="1"/>
  <c r="M86" i="13" s="1"/>
  <c r="M87" i="13" s="1"/>
  <c r="M88" i="13" s="1"/>
  <c r="M89" i="13" s="1"/>
  <c r="M90" i="13" s="1"/>
  <c r="M91" i="13" s="1"/>
  <c r="M92" i="13" s="1"/>
  <c r="M93" i="13" s="1"/>
  <c r="M94" i="13" s="1"/>
  <c r="M95" i="13" s="1"/>
  <c r="M96" i="13" s="1"/>
  <c r="M97" i="13" s="1"/>
  <c r="M98" i="13" s="1"/>
  <c r="M99" i="13" s="1"/>
  <c r="M100" i="13" s="1"/>
  <c r="M101" i="13" s="1"/>
  <c r="M102" i="13" s="1"/>
  <c r="M103" i="13" s="1"/>
  <c r="M104" i="13" s="1"/>
  <c r="M105" i="13" s="1"/>
  <c r="M106" i="13" s="1"/>
  <c r="M107" i="13" s="1"/>
  <c r="M108" i="13" s="1"/>
  <c r="M109" i="13" s="1"/>
  <c r="M110" i="13" s="1"/>
  <c r="M111" i="13" s="1"/>
  <c r="M112" i="13" s="1"/>
  <c r="M113" i="13" s="1"/>
  <c r="M114" i="13" s="1"/>
  <c r="M115" i="13" s="1"/>
  <c r="M116" i="13" s="1"/>
  <c r="M117" i="13" s="1"/>
  <c r="M118" i="13" s="1"/>
  <c r="M119" i="13" s="1"/>
  <c r="M120" i="13" s="1"/>
  <c r="M121" i="13" s="1"/>
  <c r="M122" i="13" s="1"/>
  <c r="M123" i="13" s="1"/>
  <c r="M124" i="13" s="1"/>
  <c r="M125" i="13" s="1"/>
  <c r="M126" i="13" s="1"/>
  <c r="M127" i="13" s="1"/>
  <c r="M128" i="13" s="1"/>
  <c r="M129" i="13" s="1"/>
  <c r="M130" i="13" s="1"/>
  <c r="M131" i="13" s="1"/>
  <c r="M132" i="13" s="1"/>
  <c r="M133" i="13" s="1"/>
  <c r="M134" i="13" s="1"/>
  <c r="M135" i="13" s="1"/>
  <c r="M136" i="13" s="1"/>
  <c r="M137" i="13" s="1"/>
  <c r="M138" i="13" s="1"/>
  <c r="M139" i="13" s="1"/>
  <c r="M140" i="13" s="1"/>
  <c r="M141" i="13" s="1"/>
  <c r="M142" i="13" s="1"/>
  <c r="M143" i="13" s="1"/>
  <c r="M144" i="13" s="1"/>
  <c r="M145" i="13" s="1"/>
  <c r="M146" i="13" s="1"/>
  <c r="M147" i="13" s="1"/>
  <c r="M148" i="13" s="1"/>
  <c r="M149" i="13" s="1"/>
  <c r="M150" i="13" s="1"/>
  <c r="M151" i="13" s="1"/>
  <c r="M152" i="13" s="1"/>
  <c r="M153" i="13" s="1"/>
  <c r="M154" i="13" s="1"/>
  <c r="M155" i="13" s="1"/>
  <c r="M156" i="13" s="1"/>
  <c r="M157" i="13" s="1"/>
  <c r="M158" i="13" s="1"/>
  <c r="M159" i="13" s="1"/>
  <c r="M160" i="13" s="1"/>
  <c r="M161" i="13" s="1"/>
  <c r="M162" i="13" s="1"/>
  <c r="M163" i="13" s="1"/>
  <c r="M164" i="13" s="1"/>
  <c r="M165" i="13" s="1"/>
  <c r="M166" i="13" s="1"/>
  <c r="M167" i="13" s="1"/>
  <c r="M168" i="13" s="1"/>
  <c r="M169" i="13" s="1"/>
  <c r="M170" i="13" s="1"/>
  <c r="M171" i="13" s="1"/>
  <c r="M172" i="13" s="1"/>
  <c r="M173" i="13" s="1"/>
  <c r="M174" i="13" s="1"/>
  <c r="M175" i="13" s="1"/>
  <c r="M176" i="13" s="1"/>
  <c r="M177" i="13" s="1"/>
  <c r="M178" i="13" s="1"/>
  <c r="M179" i="13" s="1"/>
  <c r="M180" i="13" s="1"/>
  <c r="M181" i="13" s="1"/>
  <c r="M182" i="13" s="1"/>
  <c r="M183" i="13" s="1"/>
  <c r="M184" i="13" s="1"/>
  <c r="M185" i="13" s="1"/>
  <c r="M186" i="13" s="1"/>
  <c r="M187" i="13" s="1"/>
  <c r="M188" i="13" s="1"/>
  <c r="M189" i="13" s="1"/>
  <c r="M190" i="13" s="1"/>
  <c r="M191" i="13" s="1"/>
  <c r="M192" i="13" s="1"/>
  <c r="M193" i="13" s="1"/>
  <c r="M194" i="13" s="1"/>
  <c r="M195" i="13" s="1"/>
  <c r="M196" i="13" s="1"/>
  <c r="M197" i="13" s="1"/>
  <c r="M198" i="13" s="1"/>
  <c r="M199" i="13" s="1"/>
  <c r="M200" i="13" s="1"/>
  <c r="M201" i="13" s="1"/>
  <c r="M202" i="13" s="1"/>
  <c r="M203" i="13" s="1"/>
  <c r="M204" i="13" s="1"/>
  <c r="M205" i="13" s="1"/>
  <c r="M206" i="13" s="1"/>
  <c r="M207" i="13" s="1"/>
  <c r="M208" i="13" s="1"/>
  <c r="M209" i="13" s="1"/>
  <c r="M210" i="13" s="1"/>
  <c r="M211" i="13" s="1"/>
  <c r="M212" i="13" s="1"/>
  <c r="M213" i="13" s="1"/>
  <c r="M214" i="13" s="1"/>
  <c r="M215" i="13" s="1"/>
  <c r="M216" i="13" s="1"/>
  <c r="M217" i="13" s="1"/>
  <c r="M218" i="13" s="1"/>
  <c r="M219" i="13" s="1"/>
  <c r="M220" i="13" s="1"/>
  <c r="M221" i="13" s="1"/>
  <c r="M222" i="13" s="1"/>
  <c r="M223" i="13" s="1"/>
  <c r="M224" i="13" s="1"/>
  <c r="M225" i="13" s="1"/>
  <c r="M226" i="13" s="1"/>
  <c r="M227" i="13" s="1"/>
  <c r="M228" i="13" s="1"/>
  <c r="M229" i="13" s="1"/>
  <c r="M230" i="13" s="1"/>
  <c r="M231" i="13" s="1"/>
  <c r="M232" i="13" s="1"/>
  <c r="M233" i="13" s="1"/>
  <c r="M234" i="13" s="1"/>
  <c r="M235" i="13" s="1"/>
  <c r="M236" i="13" s="1"/>
  <c r="M237" i="13" s="1"/>
  <c r="M238" i="13" s="1"/>
  <c r="M239" i="13" s="1"/>
  <c r="M240" i="13" s="1"/>
  <c r="M241" i="13" s="1"/>
  <c r="M242" i="13" s="1"/>
  <c r="M243" i="13" s="1"/>
  <c r="M244" i="13" s="1"/>
  <c r="M245" i="13" s="1"/>
  <c r="M246" i="13" s="1"/>
  <c r="M247" i="13" s="1"/>
  <c r="M248" i="13" s="1"/>
  <c r="M249" i="13" s="1"/>
  <c r="M250" i="13" s="1"/>
  <c r="M251" i="13" s="1"/>
  <c r="M252" i="13" s="1"/>
  <c r="M253" i="13" s="1"/>
  <c r="M254" i="13" s="1"/>
  <c r="M255" i="13" s="1"/>
  <c r="M256" i="13" s="1"/>
  <c r="M257" i="13" s="1"/>
  <c r="M258" i="13" s="1"/>
  <c r="M259" i="13" s="1"/>
  <c r="M260" i="13" s="1"/>
  <c r="M261" i="13" s="1"/>
  <c r="M262" i="13" s="1"/>
  <c r="M263" i="13" s="1"/>
  <c r="M264" i="13" s="1"/>
  <c r="M265" i="13" s="1"/>
  <c r="M266" i="13" s="1"/>
  <c r="M267" i="13" s="1"/>
  <c r="M268" i="13" s="1"/>
  <c r="M269" i="13" s="1"/>
  <c r="M270" i="13" s="1"/>
  <c r="M271" i="13" s="1"/>
  <c r="M272" i="13" s="1"/>
  <c r="M273" i="13" s="1"/>
  <c r="M274" i="13" s="1"/>
  <c r="M275" i="13" s="1"/>
  <c r="M276" i="13" s="1"/>
  <c r="M277" i="13" s="1"/>
  <c r="M278" i="13" s="1"/>
  <c r="M279" i="13" s="1"/>
  <c r="M280" i="13" s="1"/>
  <c r="M281" i="13" s="1"/>
  <c r="M282" i="13" s="1"/>
  <c r="M283" i="13" s="1"/>
  <c r="M284" i="13" s="1"/>
  <c r="M285" i="13" s="1"/>
  <c r="M286" i="13" s="1"/>
  <c r="M287" i="13" s="1"/>
  <c r="M288" i="13" s="1"/>
  <c r="M289" i="13" s="1"/>
  <c r="M290" i="13" s="1"/>
  <c r="M291" i="13" s="1"/>
  <c r="M292" i="13" s="1"/>
  <c r="M293" i="13" s="1"/>
  <c r="M294" i="13" s="1"/>
  <c r="M295" i="13" s="1"/>
  <c r="M296" i="13" s="1"/>
  <c r="M297" i="13" s="1"/>
  <c r="M298" i="13" s="1"/>
  <c r="M299" i="13" s="1"/>
  <c r="M300" i="13" s="1"/>
  <c r="M301" i="13" s="1"/>
  <c r="M302" i="13" s="1"/>
  <c r="M303" i="13" s="1"/>
  <c r="M304" i="13" s="1"/>
  <c r="M305" i="13" s="1"/>
  <c r="M306" i="13" s="1"/>
  <c r="M307" i="13" s="1"/>
  <c r="M308" i="13" s="1"/>
  <c r="M309" i="13" s="1"/>
  <c r="M310" i="13" s="1"/>
  <c r="M311" i="13" s="1"/>
  <c r="M312" i="13" s="1"/>
  <c r="M313" i="13" s="1"/>
  <c r="M314" i="13" s="1"/>
  <c r="M315" i="13" s="1"/>
  <c r="M316" i="13" s="1"/>
  <c r="M317" i="13" s="1"/>
  <c r="M318" i="13" s="1"/>
  <c r="M319" i="13" s="1"/>
  <c r="M320" i="13" s="1"/>
  <c r="M321" i="13" s="1"/>
  <c r="M322" i="13" s="1"/>
  <c r="M323" i="13" s="1"/>
  <c r="M324" i="13" s="1"/>
  <c r="M325" i="13" s="1"/>
  <c r="M326" i="13" s="1"/>
  <c r="M327" i="13" s="1"/>
  <c r="M328" i="13" s="1"/>
  <c r="M329" i="13" s="1"/>
  <c r="M330" i="13" s="1"/>
  <c r="M331" i="13" s="1"/>
  <c r="M332" i="13" s="1"/>
  <c r="M333" i="13" s="1"/>
  <c r="M334" i="13" s="1"/>
  <c r="M335" i="13" s="1"/>
  <c r="M336" i="13" s="1"/>
  <c r="M337" i="13" s="1"/>
  <c r="M338" i="13" s="1"/>
  <c r="M339" i="13" s="1"/>
  <c r="M340" i="13" s="1"/>
  <c r="M341" i="13" s="1"/>
  <c r="M342" i="13" s="1"/>
  <c r="M343" i="13" s="1"/>
  <c r="M344" i="13" s="1"/>
  <c r="M345" i="13" s="1"/>
  <c r="M346" i="13" s="1"/>
  <c r="M347" i="13" s="1"/>
  <c r="M348" i="13" s="1"/>
  <c r="M349" i="13" s="1"/>
  <c r="M350" i="13" s="1"/>
  <c r="M351" i="13" s="1"/>
  <c r="M352" i="13" s="1"/>
  <c r="M353" i="13" s="1"/>
  <c r="M354" i="13" s="1"/>
  <c r="M355" i="13" s="1"/>
  <c r="M356" i="13" s="1"/>
  <c r="M357" i="13" s="1"/>
  <c r="M358" i="13" s="1"/>
  <c r="M359" i="13" s="1"/>
  <c r="M360" i="13" s="1"/>
  <c r="M361" i="13" s="1"/>
  <c r="M362" i="13" s="1"/>
  <c r="M363" i="13" s="1"/>
  <c r="M364" i="13" s="1"/>
  <c r="M365" i="13" s="1"/>
  <c r="M366" i="13" s="1"/>
  <c r="M367" i="13" s="1"/>
  <c r="M368" i="13" s="1"/>
  <c r="M369" i="13" s="1"/>
  <c r="M370" i="13" s="1"/>
  <c r="M371" i="13" s="1"/>
  <c r="M372" i="13" s="1"/>
  <c r="M373" i="13" s="1"/>
  <c r="M374" i="13" s="1"/>
  <c r="M375" i="13" s="1"/>
  <c r="M376" i="13" s="1"/>
  <c r="M377" i="13" s="1"/>
  <c r="M378" i="13" s="1"/>
  <c r="M379" i="13" s="1"/>
  <c r="M380" i="13" s="1"/>
  <c r="M381" i="13" s="1"/>
  <c r="M382" i="13" s="1"/>
  <c r="M383" i="13" s="1"/>
  <c r="M384" i="13" s="1"/>
  <c r="M385" i="13" s="1"/>
  <c r="M386" i="13" s="1"/>
  <c r="M387" i="13" s="1"/>
  <c r="M388" i="13" s="1"/>
  <c r="M389" i="13" s="1"/>
  <c r="M390" i="13" s="1"/>
  <c r="M391" i="13" s="1"/>
  <c r="M392" i="13" s="1"/>
  <c r="M393" i="13" s="1"/>
  <c r="M394" i="13" s="1"/>
  <c r="M395" i="13" s="1"/>
  <c r="M396" i="13" s="1"/>
  <c r="M397" i="13" s="1"/>
  <c r="M398" i="13" s="1"/>
  <c r="M399" i="13" s="1"/>
  <c r="M400" i="13" s="1"/>
  <c r="M401" i="13" s="1"/>
  <c r="M402" i="13" s="1"/>
  <c r="M403" i="13" s="1"/>
  <c r="M404" i="13" s="1"/>
  <c r="M405" i="13" s="1"/>
  <c r="M406" i="13" s="1"/>
  <c r="M407" i="13" s="1"/>
  <c r="M408" i="13" s="1"/>
  <c r="M409" i="13" s="1"/>
  <c r="M410" i="13" s="1"/>
  <c r="M411" i="13" s="1"/>
  <c r="M412" i="13" s="1"/>
  <c r="M413" i="13" s="1"/>
  <c r="M414" i="13" s="1"/>
  <c r="M415" i="13" s="1"/>
  <c r="M416" i="13" s="1"/>
  <c r="M417" i="13" s="1"/>
  <c r="M418" i="13" s="1"/>
  <c r="M419" i="13" s="1"/>
  <c r="M420" i="13" s="1"/>
  <c r="M421" i="13" s="1"/>
  <c r="M422" i="13" s="1"/>
  <c r="M423" i="13" s="1"/>
  <c r="M424" i="13" s="1"/>
  <c r="M425" i="13" s="1"/>
  <c r="M426" i="13" s="1"/>
  <c r="M427" i="13" s="1"/>
  <c r="M428" i="13" s="1"/>
  <c r="M429" i="13" s="1"/>
  <c r="M430" i="13" s="1"/>
  <c r="B32" i="13"/>
  <c r="C32" i="13" l="1"/>
  <c r="O430" i="13"/>
  <c r="S430" i="13"/>
  <c r="O400" i="13"/>
  <c r="O321" i="13"/>
  <c r="O230" i="13"/>
  <c r="O274" i="13"/>
  <c r="O295" i="13"/>
  <c r="O84" i="13"/>
  <c r="O358" i="13"/>
  <c r="O125" i="13"/>
  <c r="O303" i="13"/>
  <c r="O196" i="13"/>
  <c r="O252" i="13"/>
  <c r="O140" i="13"/>
  <c r="O219" i="13"/>
  <c r="O344" i="13"/>
  <c r="O67" i="13"/>
  <c r="O285" i="13"/>
  <c r="O263" i="13"/>
  <c r="O408" i="13"/>
  <c r="O41" i="13"/>
  <c r="O357" i="13"/>
  <c r="O265" i="13"/>
  <c r="O310" i="13"/>
  <c r="O110" i="13"/>
  <c r="O114" i="13"/>
  <c r="O68" i="13"/>
  <c r="O73" i="13"/>
  <c r="O246" i="13"/>
  <c r="O278" i="13"/>
  <c r="O200" i="13"/>
  <c r="O243" i="13"/>
  <c r="O36" i="13"/>
  <c r="O106" i="13"/>
  <c r="O300" i="13"/>
  <c r="O83" i="13"/>
  <c r="O56" i="13"/>
  <c r="O315" i="13"/>
  <c r="O261" i="13"/>
  <c r="O44" i="13"/>
  <c r="O186" i="13"/>
  <c r="O355" i="13"/>
  <c r="O410" i="13"/>
  <c r="O237" i="13"/>
  <c r="O258" i="13"/>
  <c r="O301" i="13"/>
  <c r="O425" i="13"/>
  <c r="O331" i="13"/>
  <c r="O229" i="13"/>
  <c r="O259" i="13"/>
  <c r="O89" i="13"/>
  <c r="O253" i="13"/>
  <c r="O288" i="13"/>
  <c r="O168" i="13"/>
  <c r="O222" i="13"/>
  <c r="O233" i="13"/>
  <c r="O326" i="13"/>
  <c r="O59" i="13"/>
  <c r="O316" i="13"/>
  <c r="O283" i="13"/>
  <c r="O78" i="13"/>
  <c r="O131" i="13"/>
  <c r="O401" i="13"/>
  <c r="O99" i="13"/>
  <c r="O154" i="13"/>
  <c r="O228" i="13"/>
  <c r="O308" i="13"/>
  <c r="O148" i="13"/>
  <c r="O38" i="13"/>
  <c r="O284" i="13"/>
  <c r="O175" i="13"/>
  <c r="O388" i="13"/>
  <c r="O32" i="13"/>
  <c r="O213" i="13"/>
  <c r="O397" i="13"/>
  <c r="O201" i="13"/>
  <c r="O368" i="13"/>
  <c r="O79" i="13"/>
  <c r="O149" i="13"/>
  <c r="O64" i="13"/>
  <c r="O242" i="13"/>
  <c r="O254" i="13"/>
  <c r="O65" i="13"/>
  <c r="O272" i="13"/>
  <c r="O372" i="13"/>
  <c r="O39" i="13"/>
  <c r="O250" i="13"/>
  <c r="O419" i="13"/>
  <c r="O396" i="13"/>
  <c r="O145" i="13"/>
  <c r="O290" i="13"/>
  <c r="O369" i="13"/>
  <c r="O395" i="13"/>
  <c r="O217" i="13"/>
  <c r="O296" i="13"/>
  <c r="O188" i="13"/>
  <c r="O184" i="13"/>
  <c r="O153" i="13"/>
  <c r="O415" i="13"/>
  <c r="O359" i="13"/>
  <c r="O353" i="13"/>
  <c r="O180" i="13"/>
  <c r="O304" i="13"/>
  <c r="O189" i="13"/>
  <c r="O367" i="13"/>
  <c r="O37" i="13"/>
  <c r="O276" i="13"/>
  <c r="O163" i="13"/>
  <c r="O218" i="13"/>
  <c r="O45" i="13"/>
  <c r="O66" i="13"/>
  <c r="O40" i="13"/>
  <c r="O34" i="13"/>
  <c r="O113" i="13"/>
  <c r="O139" i="13"/>
  <c r="O144" i="13"/>
  <c r="O378" i="13"/>
  <c r="O60" i="13"/>
  <c r="O155" i="13"/>
  <c r="O429" i="13"/>
  <c r="O409" i="13"/>
  <c r="O207" i="13"/>
  <c r="O52" i="13"/>
  <c r="O205" i="13"/>
  <c r="O399" i="13"/>
  <c r="O118" i="13"/>
  <c r="O366" i="13"/>
  <c r="O371" i="13"/>
  <c r="O181" i="13"/>
  <c r="O86" i="13"/>
  <c r="O137" i="13"/>
  <c r="O221" i="13"/>
  <c r="O199" i="13"/>
  <c r="O160" i="13"/>
  <c r="O208" i="13"/>
  <c r="O293" i="13"/>
  <c r="O209" i="13"/>
  <c r="O354" i="13"/>
  <c r="O426" i="13"/>
  <c r="O279" i="13"/>
  <c r="O249" i="13"/>
  <c r="O360" i="13"/>
  <c r="O330" i="13"/>
  <c r="O351" i="13"/>
  <c r="O322" i="13"/>
  <c r="O216" i="13"/>
  <c r="O281" i="13"/>
  <c r="O215" i="13"/>
  <c r="O124" i="13"/>
  <c r="O185" i="13"/>
  <c r="O55" i="13"/>
  <c r="O123" i="13"/>
  <c r="O69" i="13"/>
  <c r="O347" i="13"/>
  <c r="O142" i="13"/>
  <c r="O195" i="13"/>
  <c r="O128" i="13"/>
  <c r="O98" i="13"/>
  <c r="O177" i="13"/>
  <c r="O203" i="13"/>
  <c r="O416" i="13"/>
  <c r="O427" i="13"/>
  <c r="O280" i="13"/>
  <c r="O247" i="13"/>
  <c r="O74" i="13"/>
  <c r="O95" i="13"/>
  <c r="O337" i="13"/>
  <c r="O35" i="13"/>
  <c r="O90" i="13"/>
  <c r="O100" i="13"/>
  <c r="O182" i="13"/>
  <c r="O342" i="13"/>
  <c r="O212" i="13"/>
  <c r="O156" i="13"/>
  <c r="O336" i="13"/>
  <c r="O277" i="13"/>
  <c r="O174" i="13"/>
  <c r="O370" i="13"/>
  <c r="O260" i="13"/>
  <c r="O309" i="13"/>
  <c r="O271" i="13"/>
  <c r="O379" i="13"/>
  <c r="O389" i="13"/>
  <c r="O116" i="13"/>
  <c r="O111" i="13"/>
  <c r="O172" i="13"/>
  <c r="O343" i="13"/>
  <c r="O313" i="13"/>
  <c r="O96" i="13"/>
  <c r="O43" i="13"/>
  <c r="O383" i="13"/>
  <c r="O220" i="13"/>
  <c r="O289" i="13"/>
  <c r="O421" i="13"/>
  <c r="O287" i="13"/>
  <c r="O345" i="13"/>
  <c r="O81" i="13"/>
  <c r="O385" i="13"/>
  <c r="O173" i="13"/>
  <c r="O101" i="13"/>
  <c r="O58" i="13"/>
  <c r="O227" i="13"/>
  <c r="O282" i="13"/>
  <c r="O109" i="13"/>
  <c r="O130" i="13"/>
  <c r="O87" i="13"/>
  <c r="O57" i="13"/>
  <c r="O311" i="13"/>
  <c r="O138" i="13"/>
  <c r="O428" i="13"/>
  <c r="O234" i="13"/>
  <c r="O127" i="13"/>
  <c r="O211" i="13"/>
  <c r="O33" i="13"/>
  <c r="O292" i="13"/>
  <c r="O224" i="13"/>
  <c r="O132" i="13"/>
  <c r="O49" i="13"/>
  <c r="O75" i="13"/>
  <c r="O341" i="13"/>
  <c r="O214" i="13"/>
  <c r="O393" i="13"/>
  <c r="O80" i="13"/>
  <c r="O238" i="13"/>
  <c r="O332" i="13"/>
  <c r="O232" i="13"/>
  <c r="O236" i="13"/>
  <c r="O54" i="13"/>
  <c r="O108" i="13"/>
  <c r="O406" i="13"/>
  <c r="O314" i="13"/>
  <c r="O268" i="13"/>
  <c r="O91" i="13"/>
  <c r="O365" i="13"/>
  <c r="O386" i="13"/>
  <c r="O107" i="13"/>
  <c r="O136" i="13"/>
  <c r="O70" i="13"/>
  <c r="O204" i="13"/>
  <c r="O422" i="13"/>
  <c r="O402" i="13"/>
  <c r="O423" i="13"/>
  <c r="O62" i="13"/>
  <c r="O412" i="13"/>
  <c r="O122" i="13"/>
  <c r="O226" i="13"/>
  <c r="O294" i="13"/>
  <c r="O194" i="13"/>
  <c r="O264" i="13"/>
  <c r="O72" i="13"/>
  <c r="O384" i="13"/>
  <c r="O162" i="13"/>
  <c r="O241" i="13"/>
  <c r="O267" i="13"/>
  <c r="O334" i="13"/>
  <c r="O298" i="13"/>
  <c r="O191" i="13"/>
  <c r="O275" i="13"/>
  <c r="O97" i="13"/>
  <c r="O382" i="13"/>
  <c r="O193" i="13"/>
  <c r="O192" i="13"/>
  <c r="O146" i="13"/>
  <c r="O167" i="13"/>
  <c r="O48" i="13"/>
  <c r="O299" i="13"/>
  <c r="O104" i="13"/>
  <c r="O183" i="13"/>
  <c r="O340" i="13"/>
  <c r="O76" i="13"/>
  <c r="O376" i="13"/>
  <c r="O120" i="13"/>
  <c r="O256" i="13"/>
  <c r="O46" i="13"/>
  <c r="O115" i="13"/>
  <c r="O269" i="13"/>
  <c r="O352" i="13"/>
  <c r="O85" i="13"/>
  <c r="O374" i="13"/>
  <c r="O150" i="13"/>
  <c r="O273" i="13"/>
  <c r="O418" i="13"/>
  <c r="O404" i="13"/>
  <c r="O420" i="13"/>
  <c r="O134" i="13"/>
  <c r="O42" i="13"/>
  <c r="O235" i="13"/>
  <c r="O126" i="13"/>
  <c r="O112" i="13"/>
  <c r="O350" i="13"/>
  <c r="O361" i="13"/>
  <c r="O270" i="13"/>
  <c r="O424" i="13"/>
  <c r="O187" i="13"/>
  <c r="O291" i="13"/>
  <c r="O305" i="13"/>
  <c r="O403" i="13"/>
  <c r="O159" i="13"/>
  <c r="O319" i="13"/>
  <c r="O338" i="13"/>
  <c r="O151" i="13"/>
  <c r="O121" i="13"/>
  <c r="O375" i="13"/>
  <c r="O202" i="13"/>
  <c r="O152" i="13"/>
  <c r="O257" i="13"/>
  <c r="O102" i="13"/>
  <c r="O210" i="13"/>
  <c r="O231" i="13"/>
  <c r="O349" i="13"/>
  <c r="O327" i="13"/>
  <c r="O94" i="13"/>
  <c r="O105" i="13"/>
  <c r="O320" i="13"/>
  <c r="O390" i="13"/>
  <c r="O170" i="13"/>
  <c r="O63" i="13"/>
  <c r="O147" i="13"/>
  <c r="O176" i="13"/>
  <c r="O51" i="13"/>
  <c r="O245" i="13"/>
  <c r="O143" i="13"/>
  <c r="O380" i="13"/>
  <c r="O333" i="13"/>
  <c r="O306" i="13"/>
  <c r="O141" i="13"/>
  <c r="O335" i="13"/>
  <c r="O307" i="13"/>
  <c r="O405" i="13"/>
  <c r="O373" i="13"/>
  <c r="O407" i="13"/>
  <c r="O377" i="13"/>
  <c r="O248" i="13"/>
  <c r="O324" i="13"/>
  <c r="O190" i="13"/>
  <c r="O312" i="13"/>
  <c r="O414" i="13"/>
  <c r="O93" i="13"/>
  <c r="O71" i="13"/>
  <c r="O317" i="13"/>
  <c r="O328" i="13"/>
  <c r="O165" i="13"/>
  <c r="O286" i="13"/>
  <c r="O133" i="13"/>
  <c r="O346" i="13"/>
  <c r="O88" i="13"/>
  <c r="O206" i="13"/>
  <c r="O363" i="13"/>
  <c r="O266" i="13"/>
  <c r="O387" i="13"/>
  <c r="O31" i="13"/>
  <c r="O362" i="13"/>
  <c r="O255" i="13"/>
  <c r="O339" i="13"/>
  <c r="O161" i="13"/>
  <c r="O413" i="13"/>
  <c r="O391" i="13"/>
  <c r="O158" i="13"/>
  <c r="O169" i="13"/>
  <c r="O198" i="13"/>
  <c r="O364" i="13"/>
  <c r="O166" i="13"/>
  <c r="O61" i="13"/>
  <c r="O239" i="13"/>
  <c r="O92" i="13"/>
  <c r="O318" i="13"/>
  <c r="O129" i="13"/>
  <c r="O325" i="13"/>
  <c r="O82" i="13"/>
  <c r="O103" i="13"/>
  <c r="O178" i="13"/>
  <c r="O53" i="13"/>
  <c r="O302" i="13"/>
  <c r="O179" i="13"/>
  <c r="O77" i="13"/>
  <c r="O329" i="13"/>
  <c r="O348" i="13"/>
  <c r="O240" i="13"/>
  <c r="O50" i="13"/>
  <c r="O164" i="13"/>
  <c r="O117" i="13"/>
  <c r="O171" i="13"/>
  <c r="O392" i="13"/>
  <c r="O119" i="13"/>
  <c r="O417" i="13"/>
  <c r="O157" i="13"/>
  <c r="O135" i="13"/>
  <c r="O381" i="13"/>
  <c r="O251" i="13"/>
  <c r="O197" i="13"/>
  <c r="O244" i="13"/>
  <c r="O398" i="13"/>
  <c r="O323" i="13"/>
  <c r="O356" i="13"/>
  <c r="O411" i="13"/>
  <c r="O297" i="13"/>
  <c r="O394" i="13"/>
  <c r="O225" i="13"/>
  <c r="O47" i="13"/>
  <c r="O223" i="13"/>
  <c r="O262" i="13"/>
  <c r="C33" i="13" l="1"/>
  <c r="P59" i="13"/>
  <c r="P63" i="13"/>
  <c r="P54" i="13"/>
  <c r="P36" i="13"/>
  <c r="P85" i="13"/>
  <c r="P86" i="13"/>
  <c r="P64" i="13"/>
  <c r="P41" i="13"/>
  <c r="P40" i="13"/>
  <c r="P45" i="13"/>
  <c r="P46" i="13"/>
  <c r="P42" i="13"/>
  <c r="P57" i="13"/>
  <c r="P56" i="13"/>
  <c r="P61" i="13"/>
  <c r="P39" i="13"/>
  <c r="P37" i="13"/>
  <c r="P34" i="13"/>
  <c r="P65" i="13"/>
  <c r="P317" i="13"/>
  <c r="P329" i="13"/>
  <c r="P233" i="13"/>
  <c r="P343" i="13"/>
  <c r="P352" i="13"/>
  <c r="P371" i="13"/>
  <c r="P387" i="13"/>
  <c r="P117" i="13"/>
  <c r="P305" i="13"/>
  <c r="P205" i="13"/>
  <c r="P277" i="13"/>
  <c r="P300" i="13"/>
  <c r="P395" i="13"/>
  <c r="P374" i="13"/>
  <c r="P182" i="13"/>
  <c r="P135" i="13"/>
  <c r="P327" i="13"/>
  <c r="P175" i="13"/>
  <c r="P225" i="13"/>
  <c r="P310" i="13"/>
  <c r="P163" i="13"/>
  <c r="P146" i="13"/>
  <c r="P348" i="13"/>
  <c r="P279" i="13"/>
  <c r="P313" i="13"/>
  <c r="P127" i="13"/>
  <c r="P398" i="13"/>
  <c r="P124" i="13"/>
  <c r="P254" i="13"/>
  <c r="P121" i="13"/>
  <c r="P246" i="13"/>
  <c r="P158" i="13"/>
  <c r="P298" i="13"/>
  <c r="P190" i="13"/>
  <c r="P391" i="13"/>
  <c r="P82" i="13"/>
  <c r="P92" i="13"/>
  <c r="P203" i="13"/>
  <c r="P161" i="13"/>
  <c r="P232" i="13"/>
  <c r="P384" i="13"/>
  <c r="P357" i="13"/>
  <c r="P248" i="13"/>
  <c r="P126" i="13"/>
  <c r="P58" i="13"/>
  <c r="P240" i="13"/>
  <c r="P72" i="13"/>
  <c r="P115" i="13"/>
  <c r="P382" i="13"/>
  <c r="P323" i="13"/>
  <c r="P267" i="13"/>
  <c r="P74" i="13"/>
  <c r="P228" i="13"/>
  <c r="P143" i="13"/>
  <c r="P141" i="13"/>
  <c r="P78" i="13"/>
  <c r="P208" i="13"/>
  <c r="P242" i="13"/>
  <c r="P179" i="13"/>
  <c r="P202" i="13"/>
  <c r="P237" i="13"/>
  <c r="P155" i="13"/>
  <c r="P369" i="13"/>
  <c r="P308" i="13"/>
  <c r="P284" i="13"/>
  <c r="P335" i="13"/>
  <c r="P252" i="13"/>
  <c r="P354" i="13"/>
  <c r="P167" i="13"/>
  <c r="P296" i="13"/>
  <c r="P289" i="13"/>
  <c r="P216" i="13"/>
  <c r="P266" i="13"/>
  <c r="P210" i="13"/>
  <c r="P108" i="13"/>
  <c r="P170" i="13"/>
  <c r="P137" i="13"/>
  <c r="P261" i="13"/>
  <c r="P44" i="13"/>
  <c r="P134" i="13"/>
  <c r="P377" i="13"/>
  <c r="P110" i="13"/>
  <c r="P197" i="13"/>
  <c r="P131" i="13"/>
  <c r="P187" i="13"/>
  <c r="P271" i="13"/>
  <c r="P49" i="13"/>
  <c r="P139" i="13"/>
  <c r="P292" i="13"/>
  <c r="P38" i="13"/>
  <c r="P70" i="13"/>
  <c r="P282" i="13"/>
  <c r="P355" i="13"/>
  <c r="P102" i="13"/>
  <c r="P332" i="13"/>
  <c r="P195" i="13"/>
  <c r="P153" i="13"/>
  <c r="P90" i="13"/>
  <c r="P375" i="13"/>
  <c r="P324" i="13"/>
  <c r="P227" i="13"/>
  <c r="P403" i="13"/>
  <c r="P130" i="13"/>
  <c r="P245" i="13"/>
  <c r="P273" i="13"/>
  <c r="P100" i="13"/>
  <c r="P67" i="13"/>
  <c r="P400" i="13"/>
  <c r="P33" i="13"/>
  <c r="P386" i="13"/>
  <c r="P345" i="13"/>
  <c r="P263" i="13"/>
  <c r="P315" i="13"/>
  <c r="P192" i="13"/>
  <c r="P286" i="13"/>
  <c r="P145" i="13"/>
  <c r="P274" i="13"/>
  <c r="P404" i="13"/>
  <c r="P368" i="13"/>
  <c r="P294" i="13"/>
  <c r="P288" i="13"/>
  <c r="P199" i="13"/>
  <c r="P258" i="13"/>
  <c r="P379" i="13"/>
  <c r="P71" i="13"/>
  <c r="P84" i="13"/>
  <c r="P389" i="13"/>
  <c r="P171" i="13"/>
  <c r="P154" i="13"/>
  <c r="P302" i="13"/>
  <c r="P257" i="13"/>
  <c r="P297" i="13"/>
  <c r="P151" i="13"/>
  <c r="P393" i="13"/>
  <c r="P165" i="13"/>
  <c r="P396" i="13"/>
  <c r="P231" i="13"/>
  <c r="P331" i="13"/>
  <c r="P320" i="13"/>
  <c r="P253" i="13"/>
  <c r="P114" i="13"/>
  <c r="P337" i="13"/>
  <c r="P166" i="13"/>
  <c r="P270" i="13"/>
  <c r="P239" i="13"/>
  <c r="P218" i="13"/>
  <c r="P347" i="13"/>
  <c r="P99" i="13"/>
  <c r="P113" i="13"/>
  <c r="P363" i="13"/>
  <c r="P201" i="13"/>
  <c r="P250" i="13"/>
  <c r="P89" i="13"/>
  <c r="P341" i="13"/>
  <c r="P95" i="13"/>
  <c r="P173" i="13"/>
  <c r="P223" i="13"/>
  <c r="P276" i="13"/>
  <c r="P177" i="13"/>
  <c r="P212" i="13"/>
  <c r="P344" i="13"/>
  <c r="P107" i="13"/>
  <c r="P142" i="13"/>
  <c r="P214" i="13"/>
  <c r="P306" i="13"/>
  <c r="P73" i="13"/>
  <c r="P224" i="13"/>
  <c r="P50" i="13"/>
  <c r="P360" i="13"/>
  <c r="P260" i="13"/>
  <c r="P220" i="13"/>
  <c r="P381" i="13"/>
  <c r="P77" i="13"/>
  <c r="P81" i="13"/>
  <c r="P366" i="13"/>
  <c r="P236" i="13"/>
  <c r="P188" i="13"/>
  <c r="P206" i="13"/>
  <c r="P362" i="13"/>
  <c r="P222" i="13"/>
  <c r="P76" i="13"/>
  <c r="P181" i="13"/>
  <c r="P150" i="13"/>
  <c r="P402" i="13"/>
  <c r="P215" i="13"/>
  <c r="P66" i="13"/>
  <c r="P97" i="13"/>
  <c r="P283" i="13"/>
  <c r="P148" i="13"/>
  <c r="P244" i="13"/>
  <c r="P338" i="13"/>
  <c r="P186" i="13"/>
  <c r="P326" i="13"/>
  <c r="P200" i="13"/>
  <c r="P185" i="13"/>
  <c r="P51" i="13"/>
  <c r="P264" i="13"/>
  <c r="P321" i="13"/>
  <c r="P390" i="13"/>
  <c r="P388" i="13"/>
  <c r="P361" i="13"/>
  <c r="P55" i="13"/>
  <c r="P156" i="13"/>
  <c r="P189" i="13"/>
  <c r="P249" i="13"/>
  <c r="P325" i="13"/>
  <c r="P336" i="13"/>
  <c r="P101" i="13"/>
  <c r="P349" i="13"/>
  <c r="P358" i="13"/>
  <c r="P136" i="13"/>
  <c r="P111" i="13"/>
  <c r="P309" i="13"/>
  <c r="P91" i="13"/>
  <c r="P87" i="13"/>
  <c r="P376" i="13"/>
  <c r="P128" i="13"/>
  <c r="P356" i="13"/>
  <c r="P103" i="13"/>
  <c r="P399" i="13"/>
  <c r="P314" i="13"/>
  <c r="P340" i="13"/>
  <c r="P334" i="13"/>
  <c r="P149" i="13"/>
  <c r="P194" i="13"/>
  <c r="P120" i="13"/>
  <c r="P316" i="13"/>
  <c r="P322" i="13"/>
  <c r="P221" i="13"/>
  <c r="P43" i="13"/>
  <c r="P52" i="13"/>
  <c r="P385" i="13"/>
  <c r="P164" i="13"/>
  <c r="P147" i="13"/>
  <c r="P169" i="13"/>
  <c r="P311" i="13"/>
  <c r="P226" i="13"/>
  <c r="P112" i="13"/>
  <c r="P293" i="13"/>
  <c r="P295" i="13"/>
  <c r="P235" i="13"/>
  <c r="P397" i="13"/>
  <c r="P394" i="13"/>
  <c r="P213" i="13"/>
  <c r="P193" i="13"/>
  <c r="P211" i="13"/>
  <c r="P125" i="13"/>
  <c r="P174" i="13"/>
  <c r="P133" i="13"/>
  <c r="P234" i="13"/>
  <c r="P268" i="13"/>
  <c r="P116" i="13"/>
  <c r="P256" i="13"/>
  <c r="P285" i="13"/>
  <c r="P198" i="13"/>
  <c r="P184" i="13"/>
  <c r="P93" i="13"/>
  <c r="P281" i="13"/>
  <c r="P299" i="13"/>
  <c r="P162" i="13"/>
  <c r="P204" i="13"/>
  <c r="P191" i="13"/>
  <c r="P83" i="13"/>
  <c r="P159" i="13"/>
  <c r="P255" i="13"/>
  <c r="P392" i="13"/>
  <c r="P183" i="13"/>
  <c r="P339" i="13"/>
  <c r="P365" i="13"/>
  <c r="P238" i="13"/>
  <c r="P333" i="13"/>
  <c r="P47" i="13"/>
  <c r="P401" i="13"/>
  <c r="P353" i="13"/>
  <c r="P138" i="13"/>
  <c r="P319" i="13"/>
  <c r="P75" i="13"/>
  <c r="P209" i="13"/>
  <c r="P88" i="13"/>
  <c r="P350" i="13"/>
  <c r="P318" i="13"/>
  <c r="P291" i="13"/>
  <c r="P132" i="13"/>
  <c r="P301" i="13"/>
  <c r="P230" i="13"/>
  <c r="P383" i="13"/>
  <c r="P280" i="13"/>
  <c r="P241" i="13"/>
  <c r="P122" i="13"/>
  <c r="P330" i="13"/>
  <c r="P247" i="13"/>
  <c r="P62" i="13"/>
  <c r="P129" i="13"/>
  <c r="P69" i="13"/>
  <c r="P98" i="13"/>
  <c r="P123" i="13"/>
  <c r="P217" i="13"/>
  <c r="P53" i="13"/>
  <c r="P48" i="13"/>
  <c r="P265" i="13"/>
  <c r="P367" i="13"/>
  <c r="P180" i="13"/>
  <c r="P196" i="13"/>
  <c r="P312" i="13"/>
  <c r="P351" i="13"/>
  <c r="P94" i="13"/>
  <c r="P178" i="13"/>
  <c r="P380" i="13"/>
  <c r="P259" i="13"/>
  <c r="P96" i="13"/>
  <c r="P152" i="13"/>
  <c r="P342" i="13"/>
  <c r="P304" i="13"/>
  <c r="P303" i="13"/>
  <c r="P378" i="13"/>
  <c r="P109" i="13"/>
  <c r="P31" i="13"/>
  <c r="P30" i="13"/>
  <c r="P370" i="13"/>
  <c r="P262" i="13"/>
  <c r="P364" i="13"/>
  <c r="P68" i="13"/>
  <c r="P359" i="13"/>
  <c r="P119" i="13"/>
  <c r="P60" i="13"/>
  <c r="P160" i="13"/>
  <c r="P307" i="13"/>
  <c r="P140" i="13"/>
  <c r="P168" i="13"/>
  <c r="P290" i="13"/>
  <c r="P207" i="13"/>
  <c r="P144" i="13"/>
  <c r="P80" i="13"/>
  <c r="P176" i="13"/>
  <c r="P328" i="13"/>
  <c r="P373" i="13"/>
  <c r="P243" i="13"/>
  <c r="P229" i="13"/>
  <c r="P79" i="13"/>
  <c r="P278" i="13"/>
  <c r="P372" i="13"/>
  <c r="P118" i="13"/>
  <c r="P106" i="13"/>
  <c r="P251" i="13"/>
  <c r="P105" i="13"/>
  <c r="P32" i="13"/>
  <c r="P35" i="13"/>
  <c r="P172" i="13"/>
  <c r="P287" i="13"/>
  <c r="P405" i="13"/>
  <c r="P275" i="13"/>
  <c r="P157" i="13"/>
  <c r="P104" i="13"/>
  <c r="P269" i="13"/>
  <c r="P219" i="13"/>
  <c r="P272" i="13"/>
  <c r="P346" i="13"/>
  <c r="I30" i="13"/>
  <c r="C34" i="13" l="1"/>
  <c r="I33" i="13"/>
  <c r="S357" i="13"/>
  <c r="S205" i="13"/>
  <c r="S379" i="13"/>
  <c r="S139" i="13"/>
  <c r="S404" i="13"/>
  <c r="S46" i="13"/>
  <c r="S267" i="13"/>
  <c r="S199" i="13"/>
  <c r="S310" i="13"/>
  <c r="S158" i="13"/>
  <c r="S294" i="13"/>
  <c r="S369" i="13"/>
  <c r="S360" i="13"/>
  <c r="S389" i="13"/>
  <c r="S317" i="13"/>
  <c r="S332" i="13"/>
  <c r="S61" i="13"/>
  <c r="S250" i="13"/>
  <c r="S300" i="13"/>
  <c r="S302" i="13"/>
  <c r="S87" i="13"/>
  <c r="S329" i="13"/>
  <c r="S277" i="13"/>
  <c r="S108" i="13"/>
  <c r="S398" i="13"/>
  <c r="S252" i="13"/>
  <c r="S192" i="13"/>
  <c r="S57" i="13"/>
  <c r="S403" i="13"/>
  <c r="S143" i="13"/>
  <c r="S271" i="13"/>
  <c r="S282" i="13"/>
  <c r="S323" i="13"/>
  <c r="S110" i="13"/>
  <c r="S218" i="13"/>
  <c r="S206" i="13"/>
  <c r="S242" i="13"/>
  <c r="S127" i="13"/>
  <c r="S341" i="13"/>
  <c r="S100" i="13"/>
  <c r="S327" i="13"/>
  <c r="S335" i="13"/>
  <c r="S175" i="13"/>
  <c r="S190" i="13"/>
  <c r="S210" i="13"/>
  <c r="S171" i="13"/>
  <c r="S115" i="13"/>
  <c r="S279" i="13"/>
  <c r="S195" i="13"/>
  <c r="S308" i="13"/>
  <c r="S263" i="13"/>
  <c r="S212" i="13"/>
  <c r="S78" i="13"/>
  <c r="S358" i="13"/>
  <c r="S135" i="13"/>
  <c r="S85" i="13"/>
  <c r="S50" i="13"/>
  <c r="S396" i="13"/>
  <c r="S54" i="13"/>
  <c r="S65" i="13"/>
  <c r="S216" i="13"/>
  <c r="S117" i="13"/>
  <c r="S165" i="13"/>
  <c r="S128" i="13"/>
  <c r="S313" i="13"/>
  <c r="S305" i="13"/>
  <c r="S273" i="13"/>
  <c r="S318" i="13"/>
  <c r="S338" i="13"/>
  <c r="S161" i="13"/>
  <c r="S188" i="13"/>
  <c r="S377" i="13"/>
  <c r="S298" i="13"/>
  <c r="S315" i="13"/>
  <c r="S153" i="13"/>
  <c r="S292" i="13"/>
  <c r="S384" i="13"/>
  <c r="S382" i="13"/>
  <c r="S208" i="13"/>
  <c r="S284" i="13"/>
  <c r="S42" i="13"/>
  <c r="S349" i="13"/>
  <c r="S93" i="13"/>
  <c r="S122" i="13"/>
  <c r="S90" i="13"/>
  <c r="S130" i="13"/>
  <c r="S63" i="13"/>
  <c r="S225" i="13"/>
  <c r="S391" i="13"/>
  <c r="S233" i="13"/>
  <c r="S95" i="13"/>
  <c r="S179" i="13"/>
  <c r="S47" i="13"/>
  <c r="S105" i="13"/>
  <c r="S281" i="13"/>
  <c r="S353" i="13"/>
  <c r="S345" i="13"/>
  <c r="S366" i="13"/>
  <c r="S364" i="13"/>
  <c r="S255" i="13"/>
  <c r="S150" i="13"/>
  <c r="S125" i="13"/>
  <c r="S34" i="13"/>
  <c r="S177" i="13"/>
  <c r="S246" i="13"/>
  <c r="S182" i="13"/>
  <c r="S168" i="13"/>
  <c r="S184" i="13"/>
  <c r="S361" i="13"/>
  <c r="S141" i="13"/>
  <c r="S94" i="13"/>
  <c r="S66" i="13"/>
  <c r="S107" i="13"/>
  <c r="S266" i="13"/>
  <c r="S232" i="13"/>
  <c r="S98" i="13"/>
  <c r="S289" i="13"/>
  <c r="S52" i="13"/>
  <c r="S348" i="13"/>
  <c r="S201" i="13"/>
  <c r="S387" i="13"/>
  <c r="S235" i="13"/>
  <c r="S49" i="13"/>
  <c r="S45" i="13"/>
  <c r="S159" i="13"/>
  <c r="S68" i="13"/>
  <c r="S72" i="13"/>
  <c r="S346" i="13"/>
  <c r="S256" i="13"/>
  <c r="S196" i="13"/>
  <c r="S390" i="13"/>
  <c r="S397" i="13"/>
  <c r="S224" i="13"/>
  <c r="S131" i="13"/>
  <c r="S31" i="13"/>
  <c r="S352" i="13"/>
  <c r="S280" i="13"/>
  <c r="S355" i="13"/>
  <c r="S89" i="13"/>
  <c r="S221" i="13"/>
  <c r="S137" i="13"/>
  <c r="S228" i="13"/>
  <c r="S167" i="13"/>
  <c r="S254" i="13"/>
  <c r="S92" i="13"/>
  <c r="S163" i="13"/>
  <c r="S187" i="13"/>
  <c r="S372" i="13"/>
  <c r="S148" i="13"/>
  <c r="S401" i="13"/>
  <c r="S395" i="13"/>
  <c r="S264" i="13"/>
  <c r="S309" i="13"/>
  <c r="S274" i="13"/>
  <c r="S306" i="13"/>
  <c r="S151" i="13"/>
  <c r="S237" i="13"/>
  <c r="S111" i="13"/>
  <c r="S339" i="13"/>
  <c r="S324" i="13"/>
  <c r="S320" i="13"/>
  <c r="S243" i="13"/>
  <c r="S80" i="13"/>
  <c r="S275" i="13"/>
  <c r="S362" i="13"/>
  <c r="S336" i="13"/>
  <c r="S392" i="13"/>
  <c r="S83" i="13"/>
  <c r="S385" i="13"/>
  <c r="S402" i="13"/>
  <c r="S101" i="13"/>
  <c r="S270" i="13"/>
  <c r="S260" i="13"/>
  <c r="S295" i="13"/>
  <c r="S154" i="13"/>
  <c r="S142" i="13"/>
  <c r="S239" i="13"/>
  <c r="S202" i="13"/>
  <c r="S120" i="13"/>
  <c r="S145" i="13"/>
  <c r="S373" i="13"/>
  <c r="S370" i="13"/>
  <c r="S36" i="13"/>
  <c r="S39" i="13"/>
  <c r="S58" i="13"/>
  <c r="S286" i="13"/>
  <c r="S371" i="13"/>
  <c r="S79" i="13"/>
  <c r="S59" i="13"/>
  <c r="S30" i="13"/>
  <c r="S258" i="13"/>
  <c r="S229" i="13"/>
  <c r="S74" i="13"/>
  <c r="S203" i="13"/>
  <c r="S220" i="13"/>
  <c r="S248" i="13"/>
  <c r="S147" i="13"/>
  <c r="S75" i="13"/>
  <c r="S76" i="13"/>
  <c r="S222" i="13"/>
  <c r="S112" i="13"/>
  <c r="S113" i="13"/>
  <c r="S70" i="13"/>
  <c r="S32" i="13"/>
  <c r="S226" i="13"/>
  <c r="S354" i="13"/>
  <c r="S186" i="13"/>
  <c r="S136" i="13"/>
  <c r="S166" i="13"/>
  <c r="S236" i="13"/>
  <c r="S227" i="13"/>
  <c r="S91" i="13"/>
  <c r="S253" i="13"/>
  <c r="S162" i="13"/>
  <c r="S394" i="13"/>
  <c r="S351" i="13"/>
  <c r="S38" i="13"/>
  <c r="S40" i="13"/>
  <c r="S180" i="13"/>
  <c r="S321" i="13"/>
  <c r="S213" i="13"/>
  <c r="S172" i="13"/>
  <c r="S296" i="13"/>
  <c r="S378" i="13"/>
  <c r="S144" i="13"/>
  <c r="S399" i="13"/>
  <c r="S169" i="13"/>
  <c r="S73" i="13"/>
  <c r="S81" i="13"/>
  <c r="S123" i="13"/>
  <c r="S299" i="13"/>
  <c r="S342" i="13"/>
  <c r="S60" i="13"/>
  <c r="S118" i="13"/>
  <c r="S257" i="13"/>
  <c r="S285" i="13"/>
  <c r="S374" i="13"/>
  <c r="S251" i="13"/>
  <c r="S178" i="13"/>
  <c r="S247" i="13"/>
  <c r="S276" i="13"/>
  <c r="S55" i="13"/>
  <c r="S393" i="13"/>
  <c r="S96" i="13"/>
  <c r="S319" i="13"/>
  <c r="S69" i="13"/>
  <c r="S67" i="13"/>
  <c r="S290" i="13"/>
  <c r="S146" i="13"/>
  <c r="S119" i="13"/>
  <c r="S259" i="13"/>
  <c r="S106" i="13"/>
  <c r="S340" i="13"/>
  <c r="S217" i="13"/>
  <c r="S330" i="13"/>
  <c r="S301" i="13"/>
  <c r="S198" i="13"/>
  <c r="S191" i="13"/>
  <c r="S99" i="13"/>
  <c r="S37" i="13"/>
  <c r="S109" i="13"/>
  <c r="S209" i="13"/>
  <c r="S334" i="13"/>
  <c r="S241" i="13"/>
  <c r="S322" i="13"/>
  <c r="S356" i="13"/>
  <c r="S189" i="13"/>
  <c r="S126" i="13"/>
  <c r="S174" i="13"/>
  <c r="S204" i="13"/>
  <c r="S328" i="13"/>
  <c r="S56" i="13"/>
  <c r="S84" i="13"/>
  <c r="S380" i="13"/>
  <c r="S219" i="13"/>
  <c r="S268" i="13"/>
  <c r="S103" i="13"/>
  <c r="S104" i="13"/>
  <c r="S363" i="13"/>
  <c r="S303" i="13"/>
  <c r="S350" i="13"/>
  <c r="S121" i="13"/>
  <c r="S400" i="13"/>
  <c r="S132" i="13"/>
  <c r="S234" i="13"/>
  <c r="S193" i="13"/>
  <c r="S325" i="13"/>
  <c r="S214" i="13"/>
  <c r="S359" i="13"/>
  <c r="S343" i="13"/>
  <c r="S88" i="13"/>
  <c r="S238" i="13"/>
  <c r="S230" i="13"/>
  <c r="S287" i="13"/>
  <c r="S314" i="13"/>
  <c r="S272" i="13"/>
  <c r="S152" i="13"/>
  <c r="S291" i="13"/>
  <c r="S376" i="13"/>
  <c r="S265" i="13"/>
  <c r="S283" i="13"/>
  <c r="S207" i="13"/>
  <c r="S381" i="13"/>
  <c r="S383" i="13"/>
  <c r="S297" i="13"/>
  <c r="S312" i="13"/>
  <c r="S326" i="13"/>
  <c r="S304" i="13"/>
  <c r="S316" i="13"/>
  <c r="S41" i="13"/>
  <c r="S35" i="13"/>
  <c r="S102" i="13"/>
  <c r="S156" i="13"/>
  <c r="S311" i="13"/>
  <c r="S240" i="13"/>
  <c r="S173" i="13"/>
  <c r="S375" i="13"/>
  <c r="S185" i="13"/>
  <c r="S211" i="13"/>
  <c r="S249" i="13"/>
  <c r="S269" i="13"/>
  <c r="S170" i="13"/>
  <c r="S293" i="13"/>
  <c r="S262" i="13"/>
  <c r="S244" i="13"/>
  <c r="S194" i="13"/>
  <c r="S138" i="13"/>
  <c r="S133" i="13"/>
  <c r="S215" i="13"/>
  <c r="S307" i="13"/>
  <c r="S77" i="13"/>
  <c r="S114" i="13"/>
  <c r="S231" i="13"/>
  <c r="S157" i="13"/>
  <c r="S278" i="13"/>
  <c r="S134" i="13"/>
  <c r="S116" i="13"/>
  <c r="S64" i="13"/>
  <c r="S53" i="13"/>
  <c r="S155" i="13"/>
  <c r="S261" i="13"/>
  <c r="S183" i="13"/>
  <c r="S97" i="13"/>
  <c r="S82" i="13"/>
  <c r="S197" i="13"/>
  <c r="S124" i="13"/>
  <c r="S51" i="13"/>
  <c r="S333" i="13"/>
  <c r="S86" i="13"/>
  <c r="S337" i="13"/>
  <c r="S149" i="13"/>
  <c r="S365" i="13"/>
  <c r="S223" i="13"/>
  <c r="S176" i="13"/>
  <c r="S200" i="13"/>
  <c r="S164" i="13"/>
  <c r="S388" i="13"/>
  <c r="S367" i="13"/>
  <c r="S344" i="13"/>
  <c r="S129" i="13"/>
  <c r="S331" i="13"/>
  <c r="S48" i="13"/>
  <c r="S43" i="13"/>
  <c r="S288" i="13"/>
  <c r="S368" i="13"/>
  <c r="S140" i="13"/>
  <c r="S71" i="13"/>
  <c r="S160" i="13"/>
  <c r="S245" i="13"/>
  <c r="S347" i="13"/>
  <c r="S181" i="13"/>
  <c r="S386" i="13"/>
  <c r="S33" i="13"/>
  <c r="S44" i="13"/>
  <c r="S62" i="13"/>
  <c r="B34" i="13"/>
  <c r="B33" i="13"/>
  <c r="C35" i="13" l="1"/>
  <c r="I34" i="13"/>
  <c r="K33" i="13" s="1"/>
  <c r="I31" i="13"/>
  <c r="B35" i="13"/>
  <c r="C36" i="13" l="1"/>
  <c r="I35" i="13"/>
  <c r="K34" i="13" s="1"/>
  <c r="K30" i="13"/>
  <c r="B37" i="13"/>
  <c r="B39" i="13"/>
  <c r="B41" i="13"/>
  <c r="B36" i="13"/>
  <c r="B40" i="13" s="1"/>
  <c r="I32" i="13"/>
  <c r="B43" i="13"/>
  <c r="C37" i="13" l="1"/>
  <c r="I36" i="13"/>
  <c r="K35" i="13" s="1"/>
  <c r="K32" i="13"/>
  <c r="K31" i="13"/>
  <c r="B42" i="13"/>
  <c r="B38" i="13"/>
  <c r="C38" i="13" l="1"/>
  <c r="I37" i="13"/>
  <c r="K36" i="13" s="1"/>
  <c r="D32" i="13"/>
  <c r="D31" i="13"/>
  <c r="D33" i="13"/>
  <c r="D34" i="13"/>
  <c r="D30" i="13"/>
  <c r="C39" i="13" l="1"/>
  <c r="I38" i="13"/>
  <c r="K37" i="13" s="1"/>
  <c r="D35" i="13"/>
  <c r="C40" i="13" l="1"/>
  <c r="I39" i="13"/>
  <c r="K38" i="13" s="1"/>
  <c r="D36" i="13"/>
  <c r="C41" i="13" l="1"/>
  <c r="I40" i="13"/>
  <c r="K39" i="13" s="1"/>
  <c r="D37" i="13"/>
  <c r="C42" i="13" l="1"/>
  <c r="I41" i="13"/>
  <c r="K40" i="13" s="1"/>
  <c r="D38" i="13"/>
  <c r="C43" i="13" l="1"/>
  <c r="I42" i="13"/>
  <c r="K41" i="13" s="1"/>
  <c r="D39" i="13"/>
  <c r="I43" i="13" l="1"/>
  <c r="K42" i="13" s="1"/>
  <c r="C44" i="13"/>
  <c r="D40" i="13"/>
  <c r="I44" i="13" l="1"/>
  <c r="K43" i="13" s="1"/>
  <c r="C45" i="13"/>
  <c r="D41" i="13"/>
  <c r="I45" i="13" l="1"/>
  <c r="K44" i="13" s="1"/>
  <c r="C46" i="13"/>
  <c r="D42" i="13"/>
  <c r="C47" i="13" l="1"/>
  <c r="I46" i="13"/>
  <c r="K45" i="13" s="1"/>
  <c r="D43" i="13"/>
  <c r="C48" i="13" l="1"/>
  <c r="I47" i="13"/>
  <c r="K46" i="13" s="1"/>
  <c r="D44" i="13"/>
  <c r="C49" i="13" l="1"/>
  <c r="I48" i="13"/>
  <c r="K47" i="13" s="1"/>
  <c r="D45" i="13"/>
  <c r="C50" i="13" l="1"/>
  <c r="I49" i="13"/>
  <c r="K48" i="13" s="1"/>
  <c r="D46" i="13"/>
  <c r="C51" i="13" l="1"/>
  <c r="I50" i="13"/>
  <c r="K49" i="13" s="1"/>
  <c r="D47" i="13"/>
  <c r="C52" i="13" l="1"/>
  <c r="I51" i="13"/>
  <c r="K50" i="13" s="1"/>
  <c r="D48" i="13"/>
  <c r="C53" i="13" l="1"/>
  <c r="I52" i="13"/>
  <c r="K51" i="13" s="1"/>
  <c r="D49" i="13"/>
  <c r="C54" i="13" l="1"/>
  <c r="I53" i="13"/>
  <c r="K52" i="13" s="1"/>
  <c r="D50" i="13"/>
  <c r="I54" i="13" l="1"/>
  <c r="K53" i="13" s="1"/>
  <c r="C55" i="13"/>
  <c r="D51" i="13"/>
  <c r="I55" i="13" l="1"/>
  <c r="K54" i="13" s="1"/>
  <c r="C56" i="13"/>
  <c r="D52" i="13"/>
  <c r="C57" i="13" l="1"/>
  <c r="I56" i="13"/>
  <c r="K55" i="13" s="1"/>
  <c r="D53" i="13"/>
  <c r="C58" i="13" l="1"/>
  <c r="I57" i="13"/>
  <c r="K56" i="13" s="1"/>
  <c r="D54" i="13"/>
  <c r="C59" i="13" l="1"/>
  <c r="I58" i="13"/>
  <c r="K57" i="13" s="1"/>
  <c r="D55" i="13"/>
  <c r="C60" i="13" l="1"/>
  <c r="I59" i="13"/>
  <c r="K58" i="13" s="1"/>
  <c r="D56" i="13"/>
  <c r="C61" i="13" l="1"/>
  <c r="I60" i="13"/>
  <c r="K59" i="13" s="1"/>
  <c r="D57" i="13"/>
  <c r="I61" i="13" l="1"/>
  <c r="K60" i="13" s="1"/>
  <c r="C62" i="13"/>
  <c r="D58" i="13"/>
  <c r="C63" i="13" l="1"/>
  <c r="I62" i="13"/>
  <c r="K61" i="13" s="1"/>
  <c r="D59" i="13"/>
  <c r="C64" i="13" l="1"/>
  <c r="I63" i="13"/>
  <c r="K62" i="13" s="1"/>
  <c r="D60" i="13"/>
  <c r="C65" i="13" l="1"/>
  <c r="I64" i="13"/>
  <c r="K63" i="13" s="1"/>
  <c r="D61" i="13"/>
  <c r="C66" i="13" l="1"/>
  <c r="I65" i="13"/>
  <c r="K64" i="13" s="1"/>
  <c r="D62" i="13"/>
  <c r="C67" i="13" l="1"/>
  <c r="I66" i="13"/>
  <c r="K65" i="13" s="1"/>
  <c r="D63" i="13"/>
  <c r="C68" i="13" l="1"/>
  <c r="I67" i="13"/>
  <c r="K66" i="13" s="1"/>
  <c r="D64" i="13"/>
  <c r="C69" i="13" l="1"/>
  <c r="I68" i="13"/>
  <c r="K67" i="13" s="1"/>
  <c r="D65" i="13"/>
  <c r="C70" i="13" l="1"/>
  <c r="I69" i="13"/>
  <c r="K68" i="13" s="1"/>
  <c r="D66" i="13"/>
  <c r="C71" i="13" l="1"/>
  <c r="I70" i="13"/>
  <c r="K69" i="13" s="1"/>
  <c r="D67" i="13"/>
  <c r="C72" i="13" l="1"/>
  <c r="I71" i="13"/>
  <c r="K70" i="13" s="1"/>
  <c r="D68" i="13"/>
  <c r="C73" i="13" l="1"/>
  <c r="I72" i="13"/>
  <c r="K71" i="13" s="1"/>
  <c r="D69" i="13"/>
  <c r="I73" i="13" l="1"/>
  <c r="K72" i="13" s="1"/>
  <c r="C74" i="13"/>
  <c r="D70" i="13"/>
  <c r="I74" i="13" l="1"/>
  <c r="K73" i="13" s="1"/>
  <c r="C75" i="13"/>
  <c r="D71" i="13"/>
  <c r="I75" i="13" l="1"/>
  <c r="K74" i="13" s="1"/>
  <c r="C76" i="13"/>
  <c r="D72" i="13"/>
  <c r="C77" i="13" l="1"/>
  <c r="I76" i="13"/>
  <c r="K75" i="13" s="1"/>
  <c r="D73" i="13"/>
  <c r="I77" i="13" l="1"/>
  <c r="K76" i="13" s="1"/>
  <c r="C78" i="13"/>
  <c r="D74" i="13"/>
  <c r="C79" i="13" l="1"/>
  <c r="I78" i="13"/>
  <c r="K77" i="13" s="1"/>
  <c r="D75" i="13"/>
  <c r="C80" i="13" l="1"/>
  <c r="I79" i="13"/>
  <c r="K78" i="13" s="1"/>
  <c r="D76" i="13"/>
  <c r="C81" i="13" l="1"/>
  <c r="I80" i="13"/>
  <c r="K79" i="13" s="1"/>
  <c r="D77" i="13"/>
  <c r="C82" i="13" l="1"/>
  <c r="I81" i="13"/>
  <c r="K80" i="13" s="1"/>
  <c r="D78" i="13"/>
  <c r="C83" i="13" l="1"/>
  <c r="I82" i="13"/>
  <c r="K81" i="13" s="1"/>
  <c r="D79" i="13"/>
  <c r="C84" i="13" l="1"/>
  <c r="I83" i="13"/>
  <c r="K82" i="13" s="1"/>
  <c r="D80" i="13"/>
  <c r="C85" i="13" l="1"/>
  <c r="I84" i="13"/>
  <c r="D81" i="13"/>
  <c r="K83" i="13" l="1"/>
  <c r="C86" i="13"/>
  <c r="I85" i="13"/>
  <c r="K84" i="13" s="1"/>
  <c r="D82" i="13"/>
  <c r="C87" i="13" l="1"/>
  <c r="I86" i="13"/>
  <c r="K85" i="13" s="1"/>
  <c r="D83" i="13"/>
  <c r="I87" i="13" l="1"/>
  <c r="K86" i="13" s="1"/>
  <c r="C88" i="13"/>
  <c r="D84" i="13"/>
  <c r="C89" i="13" l="1"/>
  <c r="I88" i="13"/>
  <c r="D85" i="13"/>
  <c r="C90" i="13" l="1"/>
  <c r="I89" i="13"/>
  <c r="K88" i="13" s="1"/>
  <c r="K87" i="13"/>
  <c r="D86" i="13"/>
  <c r="C91" i="13" l="1"/>
  <c r="I90" i="13"/>
  <c r="K89" i="13" s="1"/>
  <c r="D87" i="13"/>
  <c r="I91" i="13" l="1"/>
  <c r="K90" i="13" s="1"/>
  <c r="C92" i="13"/>
  <c r="D88" i="13"/>
  <c r="I92" i="13" l="1"/>
  <c r="K91" i="13" s="1"/>
  <c r="C93" i="13"/>
  <c r="D89" i="13"/>
  <c r="I93" i="13" l="1"/>
  <c r="K92" i="13" s="1"/>
  <c r="C94" i="13"/>
  <c r="D90" i="13"/>
  <c r="C95" i="13" l="1"/>
  <c r="I94" i="13"/>
  <c r="K93" i="13" s="1"/>
  <c r="D91" i="13"/>
  <c r="C96" i="13" l="1"/>
  <c r="I95" i="13"/>
  <c r="K94" i="13" s="1"/>
  <c r="D92" i="13"/>
  <c r="C97" i="13" l="1"/>
  <c r="I96" i="13"/>
  <c r="K95" i="13" s="1"/>
  <c r="D93" i="13"/>
  <c r="C98" i="13" l="1"/>
  <c r="I97" i="13"/>
  <c r="K96" i="13" s="1"/>
  <c r="D94" i="13"/>
  <c r="C99" i="13" l="1"/>
  <c r="I98" i="13"/>
  <c r="K97" i="13" s="1"/>
  <c r="D95" i="13"/>
  <c r="C100" i="13" l="1"/>
  <c r="I99" i="13"/>
  <c r="K98" i="13" s="1"/>
  <c r="D96" i="13"/>
  <c r="C101" i="13" l="1"/>
  <c r="I100" i="13"/>
  <c r="K99" i="13" s="1"/>
  <c r="D97" i="13"/>
  <c r="I101" i="13" l="1"/>
  <c r="K100" i="13" s="1"/>
  <c r="C102" i="13"/>
  <c r="D98" i="13"/>
  <c r="C103" i="13" l="1"/>
  <c r="I102" i="13"/>
  <c r="K101" i="13" s="1"/>
  <c r="D99" i="13"/>
  <c r="I103" i="13" l="1"/>
  <c r="K102" i="13" s="1"/>
  <c r="C104" i="13"/>
  <c r="D100" i="13"/>
  <c r="I104" i="13" l="1"/>
  <c r="K103" i="13" s="1"/>
  <c r="C105" i="13"/>
  <c r="D101" i="13"/>
  <c r="C106" i="13" l="1"/>
  <c r="I105" i="13"/>
  <c r="K104" i="13" s="1"/>
  <c r="D102" i="13"/>
  <c r="C107" i="13" l="1"/>
  <c r="I106" i="13"/>
  <c r="K105" i="13" s="1"/>
  <c r="D103" i="13"/>
  <c r="I107" i="13" l="1"/>
  <c r="K106" i="13" s="1"/>
  <c r="C108" i="13"/>
  <c r="D104" i="13"/>
  <c r="C109" i="13" l="1"/>
  <c r="I108" i="13"/>
  <c r="K107" i="13" s="1"/>
  <c r="D105" i="13"/>
  <c r="C110" i="13" l="1"/>
  <c r="I109" i="13"/>
  <c r="K108" i="13" s="1"/>
  <c r="D106" i="13"/>
  <c r="C111" i="13" l="1"/>
  <c r="I110" i="13"/>
  <c r="K109" i="13" s="1"/>
  <c r="D107" i="13"/>
  <c r="C112" i="13" l="1"/>
  <c r="I111" i="13"/>
  <c r="K110" i="13" s="1"/>
  <c r="D108" i="13"/>
  <c r="C113" i="13" l="1"/>
  <c r="I112" i="13"/>
  <c r="K111" i="13" s="1"/>
  <c r="D109" i="13"/>
  <c r="I113" i="13" l="1"/>
  <c r="K112" i="13" s="1"/>
  <c r="C114" i="13"/>
  <c r="D110" i="13"/>
  <c r="I114" i="13" l="1"/>
  <c r="K113" i="13" s="1"/>
  <c r="C115" i="13"/>
  <c r="D111" i="13"/>
  <c r="C116" i="13" l="1"/>
  <c r="I115" i="13"/>
  <c r="K114" i="13" s="1"/>
  <c r="D112" i="13"/>
  <c r="C117" i="13" l="1"/>
  <c r="I116" i="13"/>
  <c r="K115" i="13" s="1"/>
  <c r="D113" i="13"/>
  <c r="C118" i="13" l="1"/>
  <c r="I117" i="13"/>
  <c r="K116" i="13" s="1"/>
  <c r="D114" i="13"/>
  <c r="C119" i="13" l="1"/>
  <c r="I118" i="13"/>
  <c r="K117" i="13" s="1"/>
  <c r="D115" i="13"/>
  <c r="C120" i="13" l="1"/>
  <c r="I119" i="13"/>
  <c r="K118" i="13" s="1"/>
  <c r="D116" i="13"/>
  <c r="C121" i="13" l="1"/>
  <c r="I120" i="13"/>
  <c r="K119" i="13" s="1"/>
  <c r="D117" i="13"/>
  <c r="I121" i="13" l="1"/>
  <c r="K120" i="13" s="1"/>
  <c r="C122" i="13"/>
  <c r="D118" i="13"/>
  <c r="C123" i="13" l="1"/>
  <c r="I122" i="13"/>
  <c r="K121" i="13" s="1"/>
  <c r="D119" i="13"/>
  <c r="C124" i="13" l="1"/>
  <c r="I123" i="13"/>
  <c r="K122" i="13" s="1"/>
  <c r="D120" i="13"/>
  <c r="C125" i="13" l="1"/>
  <c r="I124" i="13"/>
  <c r="K123" i="13" s="1"/>
  <c r="D121" i="13"/>
  <c r="C126" i="13" l="1"/>
  <c r="I125" i="13"/>
  <c r="K124" i="13" s="1"/>
  <c r="D122" i="13"/>
  <c r="C127" i="13" l="1"/>
  <c r="I126" i="13"/>
  <c r="K125" i="13" s="1"/>
  <c r="D123" i="13"/>
  <c r="C128" i="13" l="1"/>
  <c r="I127" i="13"/>
  <c r="K126" i="13" s="1"/>
  <c r="D124" i="13"/>
  <c r="C129" i="13" l="1"/>
  <c r="I128" i="13"/>
  <c r="K127" i="13" s="1"/>
  <c r="D125" i="13"/>
  <c r="C130" i="13" l="1"/>
  <c r="I129" i="13"/>
  <c r="K128" i="13" s="1"/>
  <c r="D126" i="13"/>
  <c r="C131" i="13" l="1"/>
  <c r="I130" i="13"/>
  <c r="K129" i="13" s="1"/>
  <c r="D127" i="13"/>
  <c r="I131" i="13" l="1"/>
  <c r="K130" i="13" s="1"/>
  <c r="C132" i="13"/>
  <c r="D128" i="13"/>
  <c r="C133" i="13" l="1"/>
  <c r="I132" i="13"/>
  <c r="K131" i="13" s="1"/>
  <c r="D129" i="13"/>
  <c r="I133" i="13" l="1"/>
  <c r="K132" i="13" s="1"/>
  <c r="C134" i="13"/>
  <c r="D130" i="13"/>
  <c r="C135" i="13" l="1"/>
  <c r="I134" i="13"/>
  <c r="K133" i="13" s="1"/>
  <c r="D131" i="13"/>
  <c r="C136" i="13" l="1"/>
  <c r="I135" i="13"/>
  <c r="K134" i="13" s="1"/>
  <c r="D132" i="13"/>
  <c r="C137" i="13" l="1"/>
  <c r="I136" i="13"/>
  <c r="K135" i="13" s="1"/>
  <c r="D133" i="13"/>
  <c r="C138" i="13" l="1"/>
  <c r="I137" i="13"/>
  <c r="K136" i="13" s="1"/>
  <c r="D134" i="13"/>
  <c r="C139" i="13" l="1"/>
  <c r="I138" i="13"/>
  <c r="K137" i="13" s="1"/>
  <c r="D135" i="13"/>
  <c r="C140" i="13" l="1"/>
  <c r="I139" i="13"/>
  <c r="K138" i="13" s="1"/>
  <c r="D136" i="13"/>
  <c r="C141" i="13" l="1"/>
  <c r="I140" i="13"/>
  <c r="K139" i="13" s="1"/>
  <c r="D137" i="13"/>
  <c r="C142" i="13" l="1"/>
  <c r="I141" i="13"/>
  <c r="K140" i="13" s="1"/>
  <c r="D138" i="13"/>
  <c r="C143" i="13" l="1"/>
  <c r="I142" i="13"/>
  <c r="K141" i="13" s="1"/>
  <c r="D139" i="13"/>
  <c r="C144" i="13" l="1"/>
  <c r="I143" i="13"/>
  <c r="K142" i="13" s="1"/>
  <c r="D140" i="13"/>
  <c r="C145" i="13" l="1"/>
  <c r="I144" i="13"/>
  <c r="K143" i="13" s="1"/>
  <c r="D141" i="13"/>
  <c r="C146" i="13" l="1"/>
  <c r="I145" i="13"/>
  <c r="K144" i="13" s="1"/>
  <c r="D142" i="13"/>
  <c r="I146" i="13" l="1"/>
  <c r="K145" i="13" s="1"/>
  <c r="C147" i="13"/>
  <c r="D143" i="13"/>
  <c r="I147" i="13" l="1"/>
  <c r="K146" i="13" s="1"/>
  <c r="C148" i="13"/>
  <c r="D144" i="13"/>
  <c r="C149" i="13" l="1"/>
  <c r="I148" i="13"/>
  <c r="K147" i="13" s="1"/>
  <c r="D145" i="13"/>
  <c r="C150" i="13" l="1"/>
  <c r="I149" i="13"/>
  <c r="K148" i="13" s="1"/>
  <c r="D146" i="13"/>
  <c r="C151" i="13" l="1"/>
  <c r="I150" i="13"/>
  <c r="K149" i="13" s="1"/>
  <c r="D147" i="13"/>
  <c r="I151" i="13" l="1"/>
  <c r="K150" i="13" s="1"/>
  <c r="C152" i="13"/>
  <c r="D148" i="13"/>
  <c r="C153" i="13" l="1"/>
  <c r="I152" i="13"/>
  <c r="K151" i="13" s="1"/>
  <c r="D149" i="13"/>
  <c r="C154" i="13" l="1"/>
  <c r="I153" i="13"/>
  <c r="K152" i="13" s="1"/>
  <c r="D150" i="13"/>
  <c r="C155" i="13" l="1"/>
  <c r="I154" i="13"/>
  <c r="K153" i="13" s="1"/>
  <c r="D151" i="13"/>
  <c r="C156" i="13" l="1"/>
  <c r="I155" i="13"/>
  <c r="K154" i="13" s="1"/>
  <c r="D152" i="13"/>
  <c r="C157" i="13" l="1"/>
  <c r="I156" i="13"/>
  <c r="K155" i="13" s="1"/>
  <c r="D153" i="13"/>
  <c r="I157" i="13" l="1"/>
  <c r="K156" i="13" s="1"/>
  <c r="C158" i="13"/>
  <c r="D154" i="13"/>
  <c r="C159" i="13" l="1"/>
  <c r="I158" i="13"/>
  <c r="K157" i="13" s="1"/>
  <c r="D155" i="13"/>
  <c r="C160" i="13" l="1"/>
  <c r="I159" i="13"/>
  <c r="K158" i="13" s="1"/>
  <c r="D156" i="13"/>
  <c r="C161" i="13" l="1"/>
  <c r="I160" i="13"/>
  <c r="K159" i="13" s="1"/>
  <c r="D157" i="13"/>
  <c r="C162" i="13" l="1"/>
  <c r="I161" i="13"/>
  <c r="D158" i="13"/>
  <c r="C163" i="13" l="1"/>
  <c r="I162" i="13"/>
  <c r="K161" i="13" s="1"/>
  <c r="K160" i="13"/>
  <c r="D159" i="13"/>
  <c r="I163" i="13" l="1"/>
  <c r="K162" i="13" s="1"/>
  <c r="C164" i="13"/>
  <c r="D160" i="13"/>
  <c r="I164" i="13" l="1"/>
  <c r="K163" i="13" s="1"/>
  <c r="C165" i="13"/>
  <c r="D161" i="13"/>
  <c r="C166" i="13" l="1"/>
  <c r="I165" i="13"/>
  <c r="K164" i="13" s="1"/>
  <c r="D162" i="13"/>
  <c r="C167" i="13" l="1"/>
  <c r="I166" i="13"/>
  <c r="K165" i="13" s="1"/>
  <c r="D163" i="13"/>
  <c r="C168" i="13" l="1"/>
  <c r="I167" i="13"/>
  <c r="K166" i="13" s="1"/>
  <c r="D164" i="13"/>
  <c r="C169" i="13" l="1"/>
  <c r="I168" i="13"/>
  <c r="K167" i="13" s="1"/>
  <c r="D165" i="13"/>
  <c r="C170" i="13" l="1"/>
  <c r="I169" i="13"/>
  <c r="K168" i="13" s="1"/>
  <c r="D166" i="13"/>
  <c r="C171" i="13" l="1"/>
  <c r="I170" i="13"/>
  <c r="K169" i="13" s="1"/>
  <c r="D167" i="13"/>
  <c r="C172" i="13" l="1"/>
  <c r="I171" i="13"/>
  <c r="K170" i="13" s="1"/>
  <c r="D168" i="13"/>
  <c r="C173" i="13" l="1"/>
  <c r="I172" i="13"/>
  <c r="K171" i="13" s="1"/>
  <c r="D169" i="13"/>
  <c r="C174" i="13" l="1"/>
  <c r="I173" i="13"/>
  <c r="K172" i="13" s="1"/>
  <c r="D170" i="13"/>
  <c r="I174" i="13" l="1"/>
  <c r="K173" i="13" s="1"/>
  <c r="C175" i="13"/>
  <c r="D171" i="13"/>
  <c r="C176" i="13" l="1"/>
  <c r="I175" i="13"/>
  <c r="K174" i="13" s="1"/>
  <c r="D172" i="13"/>
  <c r="I176" i="13" l="1"/>
  <c r="K175" i="13" s="1"/>
  <c r="C177" i="13"/>
  <c r="D173" i="13"/>
  <c r="I177" i="13" l="1"/>
  <c r="K176" i="13" s="1"/>
  <c r="C178" i="13"/>
  <c r="D174" i="13"/>
  <c r="I178" i="13" l="1"/>
  <c r="K177" i="13" s="1"/>
  <c r="C179" i="13"/>
  <c r="D175" i="13"/>
  <c r="C180" i="13" l="1"/>
  <c r="I179" i="13"/>
  <c r="K178" i="13" s="1"/>
  <c r="D176" i="13"/>
  <c r="I180" i="13" l="1"/>
  <c r="K179" i="13" s="1"/>
  <c r="C181" i="13"/>
  <c r="D177" i="13"/>
  <c r="I181" i="13" l="1"/>
  <c r="K180" i="13" s="1"/>
  <c r="C182" i="13"/>
  <c r="D178" i="13"/>
  <c r="I182" i="13" l="1"/>
  <c r="K181" i="13" s="1"/>
  <c r="C183" i="13"/>
  <c r="D179" i="13"/>
  <c r="I183" i="13" l="1"/>
  <c r="K182" i="13" s="1"/>
  <c r="C184" i="13"/>
  <c r="D180" i="13"/>
  <c r="C185" i="13" l="1"/>
  <c r="I184" i="13"/>
  <c r="K183" i="13" s="1"/>
  <c r="D181" i="13"/>
  <c r="C186" i="13" l="1"/>
  <c r="I185" i="13"/>
  <c r="K184" i="13" s="1"/>
  <c r="D182" i="13"/>
  <c r="I186" i="13" l="1"/>
  <c r="K185" i="13" s="1"/>
  <c r="C187" i="13"/>
  <c r="D183" i="13"/>
  <c r="C188" i="13" l="1"/>
  <c r="I187" i="13"/>
  <c r="K186" i="13" s="1"/>
  <c r="D184" i="13"/>
  <c r="I188" i="13" l="1"/>
  <c r="K187" i="13" s="1"/>
  <c r="C189" i="13"/>
  <c r="D185" i="13"/>
  <c r="C190" i="13" l="1"/>
  <c r="I189" i="13"/>
  <c r="K188" i="13" s="1"/>
  <c r="D186" i="13"/>
  <c r="C191" i="13" l="1"/>
  <c r="I190" i="13"/>
  <c r="K189" i="13" s="1"/>
  <c r="D187" i="13"/>
  <c r="C192" i="13" l="1"/>
  <c r="I191" i="13"/>
  <c r="K190" i="13" s="1"/>
  <c r="D188" i="13"/>
  <c r="C193" i="13" l="1"/>
  <c r="I192" i="13"/>
  <c r="K191" i="13" s="1"/>
  <c r="D189" i="13"/>
  <c r="C194" i="13" l="1"/>
  <c r="I193" i="13"/>
  <c r="K192" i="13" s="1"/>
  <c r="D190" i="13"/>
  <c r="C195" i="13" l="1"/>
  <c r="I194" i="13"/>
  <c r="D191" i="13"/>
  <c r="C196" i="13" l="1"/>
  <c r="I195" i="13"/>
  <c r="K194" i="13" s="1"/>
  <c r="K193" i="13"/>
  <c r="D192" i="13"/>
  <c r="I196" i="13" l="1"/>
  <c r="K195" i="13" s="1"/>
  <c r="C197" i="13"/>
  <c r="D193" i="13"/>
  <c r="I197" i="13" l="1"/>
  <c r="K196" i="13" s="1"/>
  <c r="C198" i="13"/>
  <c r="D194" i="13"/>
  <c r="I198" i="13" l="1"/>
  <c r="K197" i="13" s="1"/>
  <c r="C199" i="13"/>
  <c r="D195" i="13"/>
  <c r="C200" i="13" l="1"/>
  <c r="I199" i="13"/>
  <c r="K198" i="13" s="1"/>
  <c r="D196" i="13"/>
  <c r="C201" i="13" l="1"/>
  <c r="I200" i="13"/>
  <c r="K199" i="13" s="1"/>
  <c r="D197" i="13"/>
  <c r="C202" i="13" l="1"/>
  <c r="I201" i="13"/>
  <c r="K200" i="13" s="1"/>
  <c r="D198" i="13"/>
  <c r="C203" i="13" l="1"/>
  <c r="I202" i="13"/>
  <c r="K201" i="13" s="1"/>
  <c r="D199" i="13"/>
  <c r="C204" i="13" l="1"/>
  <c r="I203" i="13"/>
  <c r="K202" i="13" s="1"/>
  <c r="D200" i="13"/>
  <c r="C205" i="13" l="1"/>
  <c r="I204" i="13"/>
  <c r="K203" i="13" s="1"/>
  <c r="D201" i="13"/>
  <c r="I205" i="13" l="1"/>
  <c r="K204" i="13" s="1"/>
  <c r="C206" i="13"/>
  <c r="D202" i="13"/>
  <c r="I206" i="13" l="1"/>
  <c r="K205" i="13" s="1"/>
  <c r="C207" i="13"/>
  <c r="D203" i="13"/>
  <c r="C208" i="13" l="1"/>
  <c r="I207" i="13"/>
  <c r="K206" i="13" s="1"/>
  <c r="D204" i="13"/>
  <c r="I208" i="13" l="1"/>
  <c r="C209" i="13"/>
  <c r="D205" i="13"/>
  <c r="K207" i="13" l="1"/>
  <c r="I209" i="13"/>
  <c r="K208" i="13" s="1"/>
  <c r="C210" i="13"/>
  <c r="D206" i="13"/>
  <c r="C211" i="13" l="1"/>
  <c r="I210" i="13"/>
  <c r="K209" i="13" s="1"/>
  <c r="D207" i="13"/>
  <c r="I211" i="13" l="1"/>
  <c r="K210" i="13" s="1"/>
  <c r="C212" i="13"/>
  <c r="D208" i="13"/>
  <c r="I212" i="13" l="1"/>
  <c r="K211" i="13" s="1"/>
  <c r="C213" i="13"/>
  <c r="D209" i="13"/>
  <c r="I213" i="13" l="1"/>
  <c r="K212" i="13" s="1"/>
  <c r="C214" i="13"/>
  <c r="D210" i="13"/>
  <c r="C215" i="13" l="1"/>
  <c r="I214" i="13"/>
  <c r="K213" i="13" s="1"/>
  <c r="D211" i="13"/>
  <c r="I215" i="13" l="1"/>
  <c r="K214" i="13" s="1"/>
  <c r="C216" i="13"/>
  <c r="D212" i="13"/>
  <c r="C217" i="13" l="1"/>
  <c r="I216" i="13"/>
  <c r="K215" i="13" s="1"/>
  <c r="D213" i="13"/>
  <c r="I217" i="13" l="1"/>
  <c r="K216" i="13" s="1"/>
  <c r="C218" i="13"/>
  <c r="D214" i="13"/>
  <c r="C219" i="13" l="1"/>
  <c r="I218" i="13"/>
  <c r="K217" i="13" s="1"/>
  <c r="D215" i="13"/>
  <c r="C220" i="13" l="1"/>
  <c r="I219" i="13"/>
  <c r="K218" i="13" s="1"/>
  <c r="D216" i="13"/>
  <c r="I220" i="13" l="1"/>
  <c r="C221" i="13"/>
  <c r="D217" i="13"/>
  <c r="K219" i="13" l="1"/>
  <c r="C222" i="13"/>
  <c r="I221" i="13"/>
  <c r="K220" i="13" s="1"/>
  <c r="D218" i="13"/>
  <c r="I222" i="13" l="1"/>
  <c r="K221" i="13" s="1"/>
  <c r="C223" i="13"/>
  <c r="D219" i="13"/>
  <c r="I223" i="13" l="1"/>
  <c r="K222" i="13" s="1"/>
  <c r="C224" i="13"/>
  <c r="D220" i="13"/>
  <c r="I224" i="13" l="1"/>
  <c r="K223" i="13" s="1"/>
  <c r="C225" i="13"/>
  <c r="D221" i="13"/>
  <c r="C226" i="13" l="1"/>
  <c r="I225" i="13"/>
  <c r="K224" i="13" s="1"/>
  <c r="D222" i="13"/>
  <c r="I226" i="13" l="1"/>
  <c r="K225" i="13" s="1"/>
  <c r="C227" i="13"/>
  <c r="D223" i="13"/>
  <c r="C228" i="13" l="1"/>
  <c r="I227" i="13"/>
  <c r="K226" i="13" s="1"/>
  <c r="D224" i="13"/>
  <c r="I228" i="13" l="1"/>
  <c r="K227" i="13" s="1"/>
  <c r="C229" i="13"/>
  <c r="D225" i="13"/>
  <c r="C230" i="13" l="1"/>
  <c r="I229" i="13"/>
  <c r="K228" i="13" s="1"/>
  <c r="D226" i="13"/>
  <c r="C231" i="13" l="1"/>
  <c r="I230" i="13"/>
  <c r="K229" i="13" s="1"/>
  <c r="D227" i="13"/>
  <c r="C232" i="13" l="1"/>
  <c r="I231" i="13"/>
  <c r="D228" i="13"/>
  <c r="C233" i="13" l="1"/>
  <c r="I232" i="13"/>
  <c r="K231" i="13" s="1"/>
  <c r="K230" i="13"/>
  <c r="D229" i="13"/>
  <c r="C234" i="13" l="1"/>
  <c r="I233" i="13"/>
  <c r="K232" i="13" s="1"/>
  <c r="D230" i="13"/>
  <c r="I234" i="13" l="1"/>
  <c r="K233" i="13" s="1"/>
  <c r="C235" i="13"/>
  <c r="D231" i="13"/>
  <c r="C236" i="13" l="1"/>
  <c r="I235" i="13"/>
  <c r="K234" i="13" s="1"/>
  <c r="D232" i="13"/>
  <c r="C237" i="13" l="1"/>
  <c r="I236" i="13"/>
  <c r="K235" i="13" s="1"/>
  <c r="D233" i="13"/>
  <c r="C238" i="13" l="1"/>
  <c r="I237" i="13"/>
  <c r="K236" i="13" s="1"/>
  <c r="D234" i="13"/>
  <c r="I238" i="13" l="1"/>
  <c r="K237" i="13" s="1"/>
  <c r="C239" i="13"/>
  <c r="D235" i="13"/>
  <c r="C240" i="13" l="1"/>
  <c r="I239" i="13"/>
  <c r="K238" i="13" s="1"/>
  <c r="D236" i="13"/>
  <c r="C241" i="13" l="1"/>
  <c r="I240" i="13"/>
  <c r="K239" i="13" s="1"/>
  <c r="D237" i="13"/>
  <c r="C242" i="13" l="1"/>
  <c r="I241" i="13"/>
  <c r="K240" i="13" s="1"/>
  <c r="D238" i="13"/>
  <c r="I242" i="13" l="1"/>
  <c r="K241" i="13" s="1"/>
  <c r="C243" i="13"/>
  <c r="D239" i="13"/>
  <c r="C244" i="13" l="1"/>
  <c r="I243" i="13"/>
  <c r="K242" i="13" s="1"/>
  <c r="D240" i="13"/>
  <c r="I244" i="13" l="1"/>
  <c r="K243" i="13" s="1"/>
  <c r="C245" i="13"/>
  <c r="D241" i="13"/>
  <c r="I245" i="13" l="1"/>
  <c r="K244" i="13" s="1"/>
  <c r="C246" i="13"/>
  <c r="D242" i="13"/>
  <c r="C247" i="13" l="1"/>
  <c r="I246" i="13"/>
  <c r="K245" i="13" s="1"/>
  <c r="D243" i="13"/>
  <c r="I247" i="13" l="1"/>
  <c r="K246" i="13" s="1"/>
  <c r="C248" i="13"/>
  <c r="D244" i="13"/>
  <c r="C249" i="13" l="1"/>
  <c r="I248" i="13"/>
  <c r="K247" i="13" s="1"/>
  <c r="D245" i="13"/>
  <c r="I249" i="13" l="1"/>
  <c r="K248" i="13" s="1"/>
  <c r="C250" i="13"/>
  <c r="D246" i="13"/>
  <c r="C251" i="13" l="1"/>
  <c r="I250" i="13"/>
  <c r="K249" i="13" s="1"/>
  <c r="D247" i="13"/>
  <c r="C252" i="13" l="1"/>
  <c r="I251" i="13"/>
  <c r="K250" i="13" s="1"/>
  <c r="D248" i="13"/>
  <c r="C253" i="13" l="1"/>
  <c r="I252" i="13"/>
  <c r="K251" i="13" s="1"/>
  <c r="D249" i="13"/>
  <c r="C254" i="13" l="1"/>
  <c r="I253" i="13"/>
  <c r="K252" i="13" s="1"/>
  <c r="D250" i="13"/>
  <c r="C255" i="13" l="1"/>
  <c r="I254" i="13"/>
  <c r="K253" i="13" s="1"/>
  <c r="D251" i="13"/>
  <c r="C256" i="13" l="1"/>
  <c r="I255" i="13"/>
  <c r="K254" i="13" s="1"/>
  <c r="D252" i="13"/>
  <c r="C257" i="13" l="1"/>
  <c r="I256" i="13"/>
  <c r="K255" i="13" s="1"/>
  <c r="D253" i="13"/>
  <c r="C258" i="13" l="1"/>
  <c r="I257" i="13"/>
  <c r="K256" i="13" s="1"/>
  <c r="D254" i="13"/>
  <c r="C259" i="13" l="1"/>
  <c r="I258" i="13"/>
  <c r="K257" i="13" s="1"/>
  <c r="D255" i="13"/>
  <c r="I259" i="13" l="1"/>
  <c r="K258" i="13" s="1"/>
  <c r="C260" i="13"/>
  <c r="D256" i="13"/>
  <c r="C261" i="13" l="1"/>
  <c r="I260" i="13"/>
  <c r="K259" i="13" s="1"/>
  <c r="D257" i="13"/>
  <c r="I261" i="13" l="1"/>
  <c r="K260" i="13" s="1"/>
  <c r="C262" i="13"/>
  <c r="D258" i="13"/>
  <c r="C263" i="13" l="1"/>
  <c r="I262" i="13"/>
  <c r="K261" i="13" s="1"/>
  <c r="D259" i="13"/>
  <c r="C264" i="13" l="1"/>
  <c r="I263" i="13"/>
  <c r="K262" i="13" s="1"/>
  <c r="D260" i="13"/>
  <c r="C265" i="13" l="1"/>
  <c r="I264" i="13"/>
  <c r="K263" i="13" s="1"/>
  <c r="D261" i="13"/>
  <c r="C266" i="13" l="1"/>
  <c r="I265" i="13"/>
  <c r="K264" i="13" s="1"/>
  <c r="D262" i="13"/>
  <c r="C267" i="13" l="1"/>
  <c r="I266" i="13"/>
  <c r="K265" i="13" s="1"/>
  <c r="D263" i="13"/>
  <c r="I267" i="13" l="1"/>
  <c r="K266" i="13" s="1"/>
  <c r="C268" i="13"/>
  <c r="D264" i="13"/>
  <c r="C269" i="13" l="1"/>
  <c r="I268" i="13"/>
  <c r="K267" i="13" s="1"/>
  <c r="D265" i="13"/>
  <c r="C270" i="13" l="1"/>
  <c r="I269" i="13"/>
  <c r="K268" i="13" s="1"/>
  <c r="D266" i="13"/>
  <c r="C271" i="13" l="1"/>
  <c r="I270" i="13"/>
  <c r="K269" i="13" s="1"/>
  <c r="D267" i="13"/>
  <c r="C272" i="13" l="1"/>
  <c r="I271" i="13"/>
  <c r="K270" i="13" s="1"/>
  <c r="D268" i="13"/>
  <c r="C273" i="13" l="1"/>
  <c r="I272" i="13"/>
  <c r="K271" i="13" s="1"/>
  <c r="D269" i="13"/>
  <c r="C274" i="13" l="1"/>
  <c r="I273" i="13"/>
  <c r="K272" i="13" s="1"/>
  <c r="D270" i="13"/>
  <c r="C275" i="13" l="1"/>
  <c r="I274" i="13"/>
  <c r="K273" i="13" s="1"/>
  <c r="D271" i="13"/>
  <c r="C276" i="13" l="1"/>
  <c r="I275" i="13"/>
  <c r="D272" i="13"/>
  <c r="I276" i="13" l="1"/>
  <c r="K275" i="13" s="1"/>
  <c r="C277" i="13"/>
  <c r="K274" i="13"/>
  <c r="D273" i="13"/>
  <c r="C278" i="13" l="1"/>
  <c r="I277" i="13"/>
  <c r="K276" i="13" s="1"/>
  <c r="D274" i="13"/>
  <c r="I278" i="13" l="1"/>
  <c r="K277" i="13" s="1"/>
  <c r="C279" i="13"/>
  <c r="D275" i="13"/>
  <c r="I279" i="13" l="1"/>
  <c r="K278" i="13" s="1"/>
  <c r="C280" i="13"/>
  <c r="D276" i="13"/>
  <c r="C281" i="13" l="1"/>
  <c r="I280" i="13"/>
  <c r="K279" i="13" s="1"/>
  <c r="D277" i="13"/>
  <c r="C282" i="13" l="1"/>
  <c r="I281" i="13"/>
  <c r="K280" i="13" s="1"/>
  <c r="D278" i="13"/>
  <c r="C283" i="13" l="1"/>
  <c r="I282" i="13"/>
  <c r="K281" i="13" s="1"/>
  <c r="D279" i="13"/>
  <c r="C284" i="13" l="1"/>
  <c r="I283" i="13"/>
  <c r="K282" i="13" s="1"/>
  <c r="D280" i="13"/>
  <c r="I284" i="13" l="1"/>
  <c r="K283" i="13" s="1"/>
  <c r="C285" i="13"/>
  <c r="D281" i="13"/>
  <c r="C286" i="13" l="1"/>
  <c r="I285" i="13"/>
  <c r="K284" i="13" s="1"/>
  <c r="D282" i="13"/>
  <c r="C287" i="13" l="1"/>
  <c r="I286" i="13"/>
  <c r="K285" i="13" s="1"/>
  <c r="D283" i="13"/>
  <c r="C288" i="13" l="1"/>
  <c r="I287" i="13"/>
  <c r="K286" i="13" s="1"/>
  <c r="D284" i="13"/>
  <c r="I288" i="13" l="1"/>
  <c r="K287" i="13" s="1"/>
  <c r="C289" i="13"/>
  <c r="D285" i="13"/>
  <c r="C290" i="13" l="1"/>
  <c r="I289" i="13"/>
  <c r="K288" i="13" s="1"/>
  <c r="D286" i="13"/>
  <c r="I290" i="13" l="1"/>
  <c r="K289" i="13" s="1"/>
  <c r="C291" i="13"/>
  <c r="D287" i="13"/>
  <c r="C292" i="13" l="1"/>
  <c r="I291" i="13"/>
  <c r="K290" i="13" s="1"/>
  <c r="D288" i="13"/>
  <c r="C293" i="13" l="1"/>
  <c r="I292" i="13"/>
  <c r="K291" i="13" s="1"/>
  <c r="D289" i="13"/>
  <c r="C294" i="13" l="1"/>
  <c r="I293" i="13"/>
  <c r="K292" i="13" s="1"/>
  <c r="D290" i="13"/>
  <c r="C295" i="13" l="1"/>
  <c r="I294" i="13"/>
  <c r="K293" i="13" s="1"/>
  <c r="D291" i="13"/>
  <c r="I295" i="13" l="1"/>
  <c r="K294" i="13" s="1"/>
  <c r="C296" i="13"/>
  <c r="D292" i="13"/>
  <c r="C297" i="13" l="1"/>
  <c r="I296" i="13"/>
  <c r="K295" i="13" s="1"/>
  <c r="D293" i="13"/>
  <c r="C298" i="13" l="1"/>
  <c r="I297" i="13"/>
  <c r="K296" i="13" s="1"/>
  <c r="D294" i="13"/>
  <c r="C299" i="13" l="1"/>
  <c r="I298" i="13"/>
  <c r="K297" i="13" s="1"/>
  <c r="D295" i="13"/>
  <c r="C300" i="13" l="1"/>
  <c r="I299" i="13"/>
  <c r="K298" i="13" s="1"/>
  <c r="D296" i="13"/>
  <c r="C301" i="13" l="1"/>
  <c r="I300" i="13"/>
  <c r="K299" i="13" s="1"/>
  <c r="D297" i="13"/>
  <c r="C302" i="13" l="1"/>
  <c r="I301" i="13"/>
  <c r="K300" i="13" s="1"/>
  <c r="D298" i="13"/>
  <c r="C303" i="13" l="1"/>
  <c r="I302" i="13"/>
  <c r="K301" i="13" s="1"/>
  <c r="D299" i="13"/>
  <c r="C304" i="13" l="1"/>
  <c r="I303" i="13"/>
  <c r="K302" i="13" s="1"/>
  <c r="D300" i="13"/>
  <c r="C305" i="13" l="1"/>
  <c r="I304" i="13"/>
  <c r="K303" i="13" s="1"/>
  <c r="D301" i="13"/>
  <c r="C306" i="13" l="1"/>
  <c r="I305" i="13"/>
  <c r="K304" i="13" s="1"/>
  <c r="D302" i="13"/>
  <c r="C307" i="13" l="1"/>
  <c r="I306" i="13"/>
  <c r="K305" i="13" s="1"/>
  <c r="D303" i="13"/>
  <c r="C308" i="13" l="1"/>
  <c r="I307" i="13"/>
  <c r="K306" i="13" s="1"/>
  <c r="D304" i="13"/>
  <c r="C309" i="13" l="1"/>
  <c r="I308" i="13"/>
  <c r="D305" i="13"/>
  <c r="K307" i="13" l="1"/>
  <c r="C310" i="13"/>
  <c r="I309" i="13"/>
  <c r="K308" i="13" s="1"/>
  <c r="D306" i="13"/>
  <c r="I310" i="13" l="1"/>
  <c r="K309" i="13" s="1"/>
  <c r="C311" i="13"/>
  <c r="D307" i="13"/>
  <c r="I311" i="13" l="1"/>
  <c r="K310" i="13" s="1"/>
  <c r="C312" i="13"/>
  <c r="D308" i="13"/>
  <c r="C313" i="13" l="1"/>
  <c r="I312" i="13"/>
  <c r="K311" i="13" s="1"/>
  <c r="D309" i="13"/>
  <c r="C314" i="13" l="1"/>
  <c r="I313" i="13"/>
  <c r="K312" i="13" s="1"/>
  <c r="D310" i="13"/>
  <c r="C315" i="13" l="1"/>
  <c r="I314" i="13"/>
  <c r="K313" i="13" s="1"/>
  <c r="D311" i="13"/>
  <c r="C316" i="13" l="1"/>
  <c r="I315" i="13"/>
  <c r="K314" i="13" s="1"/>
  <c r="D312" i="13"/>
  <c r="I316" i="13" l="1"/>
  <c r="K315" i="13" s="1"/>
  <c r="C317" i="13"/>
  <c r="D313" i="13"/>
  <c r="C318" i="13" l="1"/>
  <c r="I317" i="13"/>
  <c r="K316" i="13" s="1"/>
  <c r="D314" i="13"/>
  <c r="C319" i="13" l="1"/>
  <c r="I318" i="13"/>
  <c r="K317" i="13" s="1"/>
  <c r="D315" i="13"/>
  <c r="C320" i="13" l="1"/>
  <c r="I319" i="13"/>
  <c r="K318" i="13" s="1"/>
  <c r="D316" i="13"/>
  <c r="C321" i="13" l="1"/>
  <c r="I320" i="13"/>
  <c r="K319" i="13" s="1"/>
  <c r="D317" i="13"/>
  <c r="C322" i="13" l="1"/>
  <c r="I321" i="13"/>
  <c r="K320" i="13" s="1"/>
  <c r="D318" i="13"/>
  <c r="C323" i="13" l="1"/>
  <c r="I322" i="13"/>
  <c r="K321" i="13" s="1"/>
  <c r="D319" i="13"/>
  <c r="C324" i="13" l="1"/>
  <c r="I323" i="13"/>
  <c r="K322" i="13" s="1"/>
  <c r="D320" i="13"/>
  <c r="C325" i="13" l="1"/>
  <c r="I324" i="13"/>
  <c r="K323" i="13" s="1"/>
  <c r="D321" i="13"/>
  <c r="C326" i="13" l="1"/>
  <c r="I325" i="13"/>
  <c r="K324" i="13" s="1"/>
  <c r="D322" i="13"/>
  <c r="C327" i="13" l="1"/>
  <c r="I326" i="13"/>
  <c r="K325" i="13" s="1"/>
  <c r="D323" i="13"/>
  <c r="C328" i="13" l="1"/>
  <c r="I327" i="13"/>
  <c r="K326" i="13" s="1"/>
  <c r="D324" i="13"/>
  <c r="C329" i="13" l="1"/>
  <c r="I328" i="13"/>
  <c r="K327" i="13" s="1"/>
  <c r="D325" i="13"/>
  <c r="C330" i="13" l="1"/>
  <c r="I329" i="13"/>
  <c r="K328" i="13" s="1"/>
  <c r="D326" i="13"/>
  <c r="C331" i="13" l="1"/>
  <c r="I330" i="13"/>
  <c r="K329" i="13" s="1"/>
  <c r="D327" i="13"/>
  <c r="I331" i="13" l="1"/>
  <c r="K330" i="13" s="1"/>
  <c r="C332" i="13"/>
  <c r="D328" i="13"/>
  <c r="C333" i="13" l="1"/>
  <c r="I332" i="13"/>
  <c r="K331" i="13" s="1"/>
  <c r="D329" i="13"/>
  <c r="I333" i="13" l="1"/>
  <c r="K332" i="13" s="1"/>
  <c r="C334" i="13"/>
  <c r="D330" i="13"/>
  <c r="C335" i="13" l="1"/>
  <c r="I334" i="13"/>
  <c r="K333" i="13" s="1"/>
  <c r="D331" i="13"/>
  <c r="C336" i="13" l="1"/>
  <c r="I335" i="13"/>
  <c r="K334" i="13" s="1"/>
  <c r="D332" i="13"/>
  <c r="C337" i="13" l="1"/>
  <c r="I336" i="13"/>
  <c r="K335" i="13" s="1"/>
  <c r="D333" i="13"/>
  <c r="C338" i="13" l="1"/>
  <c r="I337" i="13"/>
  <c r="K336" i="13" s="1"/>
  <c r="D334" i="13"/>
  <c r="I338" i="13" l="1"/>
  <c r="K337" i="13" s="1"/>
  <c r="C339" i="13"/>
  <c r="D335" i="13"/>
  <c r="C340" i="13" l="1"/>
  <c r="I339" i="13"/>
  <c r="K338" i="13" s="1"/>
  <c r="D336" i="13"/>
  <c r="I340" i="13" l="1"/>
  <c r="K339" i="13" s="1"/>
  <c r="C341" i="13"/>
  <c r="D337" i="13"/>
  <c r="C342" i="13" l="1"/>
  <c r="I341" i="13"/>
  <c r="K340" i="13" s="1"/>
  <c r="D338" i="13"/>
  <c r="C343" i="13" l="1"/>
  <c r="I342" i="13"/>
  <c r="K341" i="13" s="1"/>
  <c r="D339" i="13"/>
  <c r="C344" i="13" l="1"/>
  <c r="I343" i="13"/>
  <c r="K342" i="13" s="1"/>
  <c r="D340" i="13"/>
  <c r="C345" i="13" l="1"/>
  <c r="I344" i="13"/>
  <c r="K343" i="13" s="1"/>
  <c r="D341" i="13"/>
  <c r="C346" i="13" l="1"/>
  <c r="I345" i="13"/>
  <c r="K344" i="13" s="1"/>
  <c r="D342" i="13"/>
  <c r="C347" i="13" l="1"/>
  <c r="I346" i="13"/>
  <c r="K345" i="13" s="1"/>
  <c r="D343" i="13"/>
  <c r="C348" i="13" l="1"/>
  <c r="I347" i="13"/>
  <c r="K346" i="13" s="1"/>
  <c r="D344" i="13"/>
  <c r="C349" i="13" l="1"/>
  <c r="I348" i="13"/>
  <c r="K347" i="13" s="1"/>
  <c r="D345" i="13"/>
  <c r="I349" i="13" l="1"/>
  <c r="K348" i="13" s="1"/>
  <c r="C350" i="13"/>
  <c r="D346" i="13"/>
  <c r="C351" i="13" l="1"/>
  <c r="I350" i="13"/>
  <c r="K349" i="13" s="1"/>
  <c r="D347" i="13"/>
  <c r="C352" i="13" l="1"/>
  <c r="I351" i="13"/>
  <c r="K350" i="13" s="1"/>
  <c r="D348" i="13"/>
  <c r="C353" i="13" l="1"/>
  <c r="I352" i="13"/>
  <c r="K351" i="13" s="1"/>
  <c r="D349" i="13"/>
  <c r="C354" i="13" l="1"/>
  <c r="I353" i="13"/>
  <c r="K352" i="13" s="1"/>
  <c r="D350" i="13"/>
  <c r="C355" i="13" l="1"/>
  <c r="I354" i="13"/>
  <c r="K353" i="13" s="1"/>
  <c r="D351" i="13"/>
  <c r="C356" i="13" l="1"/>
  <c r="I355" i="13"/>
  <c r="K354" i="13" s="1"/>
  <c r="D352" i="13"/>
  <c r="C357" i="13" l="1"/>
  <c r="I356" i="13"/>
  <c r="K355" i="13" s="1"/>
  <c r="D353" i="13"/>
  <c r="C358" i="13" l="1"/>
  <c r="I357" i="13"/>
  <c r="K356" i="13" s="1"/>
  <c r="D354" i="13"/>
  <c r="C359" i="13" l="1"/>
  <c r="I358" i="13"/>
  <c r="K357" i="13" s="1"/>
  <c r="D355" i="13"/>
  <c r="I359" i="13" l="1"/>
  <c r="K358" i="13" s="1"/>
  <c r="C360" i="13"/>
  <c r="D356" i="13"/>
  <c r="I360" i="13" l="1"/>
  <c r="K359" i="13" s="1"/>
  <c r="C361" i="13"/>
  <c r="D357" i="13"/>
  <c r="I361" i="13" l="1"/>
  <c r="K360" i="13" s="1"/>
  <c r="C362" i="13"/>
  <c r="D358" i="13"/>
  <c r="C363" i="13" l="1"/>
  <c r="I362" i="13"/>
  <c r="K361" i="13" s="1"/>
  <c r="D359" i="13"/>
  <c r="C364" i="13" l="1"/>
  <c r="I363" i="13"/>
  <c r="K362" i="13" s="1"/>
  <c r="D360" i="13"/>
  <c r="C365" i="13" l="1"/>
  <c r="I364" i="13"/>
  <c r="K363" i="13" s="1"/>
  <c r="D361" i="13"/>
  <c r="I365" i="13" l="1"/>
  <c r="K364" i="13" s="1"/>
  <c r="C366" i="13"/>
  <c r="D362" i="13"/>
  <c r="I366" i="13" l="1"/>
  <c r="K365" i="13" s="1"/>
  <c r="C367" i="13"/>
  <c r="D363" i="13"/>
  <c r="I367" i="13" l="1"/>
  <c r="K366" i="13" s="1"/>
  <c r="C368" i="13"/>
  <c r="D364" i="13"/>
  <c r="I368" i="13" l="1"/>
  <c r="K367" i="13" s="1"/>
  <c r="C369" i="13"/>
  <c r="D365" i="13"/>
  <c r="I369" i="13" l="1"/>
  <c r="K368" i="13" s="1"/>
  <c r="C370" i="13"/>
  <c r="D366" i="13"/>
  <c r="C371" i="13" l="1"/>
  <c r="I370" i="13"/>
  <c r="K369" i="13" s="1"/>
  <c r="D367" i="13"/>
  <c r="C372" i="13" l="1"/>
  <c r="I371" i="13"/>
  <c r="K370" i="13" s="1"/>
  <c r="D368" i="13"/>
  <c r="C373" i="13" l="1"/>
  <c r="I372" i="13"/>
  <c r="K371" i="13" s="1"/>
  <c r="D369" i="13"/>
  <c r="C374" i="13" l="1"/>
  <c r="I373" i="13"/>
  <c r="K372" i="13" s="1"/>
  <c r="D370" i="13"/>
  <c r="C375" i="13" l="1"/>
  <c r="I374" i="13"/>
  <c r="K373" i="13" s="1"/>
  <c r="D371" i="13"/>
  <c r="C376" i="13" l="1"/>
  <c r="I375" i="13"/>
  <c r="K374" i="13" s="1"/>
  <c r="D372" i="13"/>
  <c r="C377" i="13" l="1"/>
  <c r="I376" i="13"/>
  <c r="K375" i="13" s="1"/>
  <c r="D373" i="13"/>
  <c r="C378" i="13" l="1"/>
  <c r="I377" i="13"/>
  <c r="K376" i="13" s="1"/>
  <c r="D374" i="13"/>
  <c r="I378" i="13" l="1"/>
  <c r="K377" i="13" s="1"/>
  <c r="C379" i="13"/>
  <c r="D375" i="13"/>
  <c r="C380" i="13" l="1"/>
  <c r="I379" i="13"/>
  <c r="K378" i="13" s="1"/>
  <c r="D376" i="13"/>
  <c r="C381" i="13" l="1"/>
  <c r="I380" i="13"/>
  <c r="K379" i="13" s="1"/>
  <c r="D377" i="13"/>
  <c r="C382" i="13" l="1"/>
  <c r="I381" i="13"/>
  <c r="K380" i="13" s="1"/>
  <c r="D378" i="13"/>
  <c r="C383" i="13" l="1"/>
  <c r="I382" i="13"/>
  <c r="K381" i="13" s="1"/>
  <c r="D379" i="13"/>
  <c r="C384" i="13" l="1"/>
  <c r="I383" i="13"/>
  <c r="K382" i="13" s="1"/>
  <c r="D380" i="13"/>
  <c r="I384" i="13" l="1"/>
  <c r="K383" i="13" s="1"/>
  <c r="C385" i="13"/>
  <c r="D381" i="13"/>
  <c r="C386" i="13" l="1"/>
  <c r="I385" i="13"/>
  <c r="K384" i="13" s="1"/>
  <c r="D382" i="13"/>
  <c r="I386" i="13" l="1"/>
  <c r="K385" i="13" s="1"/>
  <c r="C387" i="13"/>
  <c r="D383" i="13"/>
  <c r="I387" i="13" l="1"/>
  <c r="K386" i="13" s="1"/>
  <c r="C388" i="13"/>
  <c r="D384" i="13"/>
  <c r="C389" i="13" l="1"/>
  <c r="I388" i="13"/>
  <c r="K387" i="13" s="1"/>
  <c r="D385" i="13"/>
  <c r="C390" i="13" l="1"/>
  <c r="I389" i="13"/>
  <c r="K388" i="13" s="1"/>
  <c r="D386" i="13"/>
  <c r="I390" i="13" l="1"/>
  <c r="K389" i="13" s="1"/>
  <c r="C391" i="13"/>
  <c r="D387" i="13"/>
  <c r="C392" i="13" l="1"/>
  <c r="I391" i="13"/>
  <c r="K390" i="13" s="1"/>
  <c r="D388" i="13"/>
  <c r="C393" i="13" l="1"/>
  <c r="I392" i="13"/>
  <c r="K391" i="13" s="1"/>
  <c r="D389" i="13"/>
  <c r="C394" i="13" l="1"/>
  <c r="I393" i="13"/>
  <c r="K392" i="13" s="1"/>
  <c r="D390" i="13"/>
  <c r="C395" i="13" l="1"/>
  <c r="I394" i="13"/>
  <c r="K393" i="13" s="1"/>
  <c r="D391" i="13"/>
  <c r="C396" i="13" l="1"/>
  <c r="I395" i="13"/>
  <c r="K394" i="13" s="1"/>
  <c r="D392" i="13"/>
  <c r="C397" i="13" l="1"/>
  <c r="I396" i="13"/>
  <c r="K395" i="13" s="1"/>
  <c r="D393" i="13"/>
  <c r="C398" i="13" l="1"/>
  <c r="I397" i="13"/>
  <c r="K396" i="13" s="1"/>
  <c r="D394" i="13"/>
  <c r="C399" i="13" l="1"/>
  <c r="I398" i="13"/>
  <c r="K397" i="13" s="1"/>
  <c r="D395" i="13"/>
  <c r="C400" i="13" l="1"/>
  <c r="I399" i="13"/>
  <c r="K398" i="13" s="1"/>
  <c r="D396" i="13"/>
  <c r="I400" i="13" l="1"/>
  <c r="K399" i="13" s="1"/>
  <c r="C401" i="13"/>
  <c r="D397" i="13"/>
  <c r="C402" i="13" l="1"/>
  <c r="I401" i="13"/>
  <c r="K400" i="13" s="1"/>
  <c r="D398" i="13"/>
  <c r="C403" i="13" l="1"/>
  <c r="I402" i="13"/>
  <c r="K401" i="13" s="1"/>
  <c r="D399" i="13"/>
  <c r="C404" i="13" l="1"/>
  <c r="I403" i="13"/>
  <c r="K402" i="13" s="1"/>
  <c r="D400" i="13"/>
  <c r="C405" i="13" l="1"/>
  <c r="I404" i="13"/>
  <c r="K403" i="13" s="1"/>
  <c r="D401" i="13"/>
  <c r="C406" i="13" l="1"/>
  <c r="I405" i="13"/>
  <c r="K404" i="13" s="1"/>
  <c r="D402" i="13"/>
  <c r="I406" i="13" l="1"/>
  <c r="K405" i="13" s="1"/>
  <c r="C407" i="13"/>
  <c r="D403" i="13"/>
  <c r="C408" i="13" l="1"/>
  <c r="I407" i="13"/>
  <c r="K406" i="13" s="1"/>
  <c r="D404" i="13"/>
  <c r="I408" i="13" l="1"/>
  <c r="K407" i="13" s="1"/>
  <c r="C409" i="13"/>
  <c r="D405" i="13"/>
  <c r="I409" i="13" l="1"/>
  <c r="K408" i="13" s="1"/>
  <c r="C410" i="13"/>
  <c r="D406" i="13"/>
  <c r="I410" i="13" l="1"/>
  <c r="K409" i="13" s="1"/>
  <c r="C411" i="13"/>
  <c r="D407" i="13"/>
  <c r="I411" i="13" l="1"/>
  <c r="K410" i="13" s="1"/>
  <c r="C412" i="13"/>
  <c r="D408" i="13"/>
  <c r="I412" i="13" l="1"/>
  <c r="K411" i="13" s="1"/>
  <c r="C413" i="13"/>
  <c r="D409" i="13"/>
  <c r="C414" i="13" l="1"/>
  <c r="I413" i="13"/>
  <c r="K412" i="13" s="1"/>
  <c r="D410" i="13"/>
  <c r="I414" i="13" l="1"/>
  <c r="K413" i="13" s="1"/>
  <c r="C415" i="13"/>
  <c r="D411" i="13"/>
  <c r="C416" i="13" l="1"/>
  <c r="I415" i="13"/>
  <c r="K414" i="13" s="1"/>
  <c r="D412" i="13"/>
  <c r="I416" i="13" l="1"/>
  <c r="K415" i="13" s="1"/>
  <c r="C417" i="13"/>
  <c r="D413" i="13"/>
  <c r="C418" i="13" l="1"/>
  <c r="I417" i="13"/>
  <c r="K416" i="13" s="1"/>
  <c r="D414" i="13"/>
  <c r="C419" i="13" l="1"/>
  <c r="I418" i="13"/>
  <c r="K417" i="13" s="1"/>
  <c r="D415" i="13"/>
  <c r="I419" i="13" l="1"/>
  <c r="K418" i="13" s="1"/>
  <c r="C420" i="13"/>
  <c r="D416" i="13"/>
  <c r="C421" i="13" l="1"/>
  <c r="I420" i="13"/>
  <c r="K419" i="13" s="1"/>
  <c r="D417" i="13"/>
  <c r="I421" i="13" l="1"/>
  <c r="K420" i="13" s="1"/>
  <c r="C422" i="13"/>
  <c r="D418" i="13"/>
  <c r="I422" i="13" l="1"/>
  <c r="K421" i="13" s="1"/>
  <c r="C423" i="13"/>
  <c r="D419" i="13"/>
  <c r="I423" i="13" l="1"/>
  <c r="K422" i="13" s="1"/>
  <c r="C424" i="13"/>
  <c r="D420" i="13"/>
  <c r="C425" i="13" l="1"/>
  <c r="I424" i="13"/>
  <c r="K423" i="13" s="1"/>
  <c r="D421" i="13"/>
  <c r="I425" i="13" l="1"/>
  <c r="K424" i="13" s="1"/>
  <c r="C426" i="13"/>
  <c r="D422" i="13"/>
  <c r="C427" i="13" l="1"/>
  <c r="I426" i="13"/>
  <c r="K425" i="13" s="1"/>
  <c r="D423" i="13"/>
  <c r="C428" i="13" l="1"/>
  <c r="I427" i="13"/>
  <c r="K426" i="13" s="1"/>
  <c r="D424" i="13"/>
  <c r="C429" i="13" l="1"/>
  <c r="I428" i="13"/>
  <c r="K427" i="13" s="1"/>
  <c r="D425" i="13"/>
  <c r="C430" i="13" l="1"/>
  <c r="I429" i="13"/>
  <c r="D426" i="13"/>
  <c r="K428" i="13" l="1"/>
  <c r="I430" i="13"/>
  <c r="K429" i="13" s="1"/>
  <c r="D427" i="13"/>
  <c r="D428" i="13" l="1"/>
  <c r="D429" i="13" l="1"/>
  <c r="D430" i="13" l="1"/>
  <c r="F430" i="13" l="1"/>
  <c r="F33" i="13"/>
  <c r="F32" i="13"/>
  <c r="Q32" i="13" s="1"/>
  <c r="F31" i="13"/>
  <c r="F30" i="13"/>
  <c r="Q30" i="13" s="1"/>
  <c r="F34" i="13"/>
  <c r="Q34" i="13" s="1"/>
  <c r="F35" i="13"/>
  <c r="Q35" i="13" s="1"/>
  <c r="F36" i="13"/>
  <c r="Q36" i="13" s="1"/>
  <c r="F37" i="13"/>
  <c r="F38" i="13"/>
  <c r="F39" i="13"/>
  <c r="F40" i="13"/>
  <c r="F41" i="13"/>
  <c r="Q41" i="13" s="1"/>
  <c r="F42" i="13"/>
  <c r="Q42" i="13" s="1"/>
  <c r="F43" i="13"/>
  <c r="Q43" i="13" s="1"/>
  <c r="F44" i="13"/>
  <c r="Q44" i="13" s="1"/>
  <c r="F45" i="13"/>
  <c r="F46" i="13"/>
  <c r="F47" i="13"/>
  <c r="Q47" i="13" s="1"/>
  <c r="F48" i="13"/>
  <c r="Q48" i="13" s="1"/>
  <c r="F49" i="13"/>
  <c r="Q49" i="13" s="1"/>
  <c r="F50" i="13"/>
  <c r="Q50" i="13" s="1"/>
  <c r="F51" i="13"/>
  <c r="Q51" i="13" s="1"/>
  <c r="F52" i="13"/>
  <c r="Q52" i="13" s="1"/>
  <c r="F53" i="13"/>
  <c r="F54" i="13"/>
  <c r="F55" i="13"/>
  <c r="Q55" i="13" s="1"/>
  <c r="F56" i="13"/>
  <c r="Q56" i="13" s="1"/>
  <c r="F57" i="13"/>
  <c r="Q57" i="13" s="1"/>
  <c r="F58" i="13"/>
  <c r="Q58" i="13" s="1"/>
  <c r="F59" i="13"/>
  <c r="Q59" i="13" s="1"/>
  <c r="F60" i="13"/>
  <c r="Q60" i="13" s="1"/>
  <c r="F61" i="13"/>
  <c r="F62" i="13"/>
  <c r="F63" i="13"/>
  <c r="Q63" i="13" s="1"/>
  <c r="F64" i="13"/>
  <c r="Q64" i="13" s="1"/>
  <c r="F65" i="13"/>
  <c r="Q65" i="13" s="1"/>
  <c r="F66" i="13"/>
  <c r="Q66" i="13" s="1"/>
  <c r="F67" i="13"/>
  <c r="Q67" i="13" s="1"/>
  <c r="F68" i="13"/>
  <c r="Q68" i="13" s="1"/>
  <c r="F69" i="13"/>
  <c r="F70" i="13"/>
  <c r="F71" i="13"/>
  <c r="Q71" i="13" s="1"/>
  <c r="F72" i="13"/>
  <c r="F73" i="13"/>
  <c r="Q73" i="13" s="1"/>
  <c r="F74" i="13"/>
  <c r="Q74" i="13" s="1"/>
  <c r="F75" i="13"/>
  <c r="Q75" i="13" s="1"/>
  <c r="F76" i="13"/>
  <c r="Q76" i="13" s="1"/>
  <c r="F77" i="13"/>
  <c r="F78" i="13"/>
  <c r="F79" i="13"/>
  <c r="Q79" i="13" s="1"/>
  <c r="F80" i="13"/>
  <c r="Q80" i="13" s="1"/>
  <c r="F81" i="13"/>
  <c r="Q81" i="13" s="1"/>
  <c r="F82" i="13"/>
  <c r="Q82" i="13" s="1"/>
  <c r="F83" i="13"/>
  <c r="Q83" i="13" s="1"/>
  <c r="F84" i="13"/>
  <c r="Q84" i="13" s="1"/>
  <c r="F85" i="13"/>
  <c r="F86" i="13"/>
  <c r="Q86" i="13" s="1"/>
  <c r="F87" i="13"/>
  <c r="Q87" i="13" s="1"/>
  <c r="F88" i="13"/>
  <c r="Q88" i="13" s="1"/>
  <c r="F89" i="13"/>
  <c r="Q89" i="13" s="1"/>
  <c r="F90" i="13"/>
  <c r="Q90" i="13" s="1"/>
  <c r="F91" i="13"/>
  <c r="Q91" i="13" s="1"/>
  <c r="F92" i="13"/>
  <c r="Q92" i="13" s="1"/>
  <c r="F93" i="13"/>
  <c r="F94" i="13"/>
  <c r="Q94" i="13" s="1"/>
  <c r="F95" i="13"/>
  <c r="Q95" i="13" s="1"/>
  <c r="F96" i="13"/>
  <c r="F97" i="13"/>
  <c r="Q97" i="13" s="1"/>
  <c r="F98" i="13"/>
  <c r="Q98" i="13" s="1"/>
  <c r="F99" i="13"/>
  <c r="Q99" i="13" s="1"/>
  <c r="F100" i="13"/>
  <c r="Q100" i="13" s="1"/>
  <c r="F101" i="13"/>
  <c r="F102" i="13"/>
  <c r="Q102" i="13" s="1"/>
  <c r="F103" i="13"/>
  <c r="Q103" i="13" s="1"/>
  <c r="F104" i="13"/>
  <c r="F105" i="13"/>
  <c r="Q105" i="13" s="1"/>
  <c r="F106" i="13"/>
  <c r="Q106" i="13" s="1"/>
  <c r="F107" i="13"/>
  <c r="Q107" i="13" s="1"/>
  <c r="F108" i="13"/>
  <c r="Q108" i="13" s="1"/>
  <c r="F109" i="13"/>
  <c r="F110" i="13"/>
  <c r="Q110" i="13" s="1"/>
  <c r="F111" i="13"/>
  <c r="Q111" i="13" s="1"/>
  <c r="F112" i="13"/>
  <c r="Q112" i="13" s="1"/>
  <c r="F113" i="13"/>
  <c r="Q113" i="13" s="1"/>
  <c r="F114" i="13"/>
  <c r="Q114" i="13" s="1"/>
  <c r="F115" i="13"/>
  <c r="Q115" i="13" s="1"/>
  <c r="F116" i="13"/>
  <c r="Q116" i="13" s="1"/>
  <c r="F117" i="13"/>
  <c r="Q117" i="13" s="1"/>
  <c r="F118" i="13"/>
  <c r="Q118" i="13" s="1"/>
  <c r="F119" i="13"/>
  <c r="Q119" i="13" s="1"/>
  <c r="F120" i="13"/>
  <c r="Q120" i="13" s="1"/>
  <c r="F121" i="13"/>
  <c r="Q121" i="13" s="1"/>
  <c r="F122" i="13"/>
  <c r="Q122" i="13" s="1"/>
  <c r="F123" i="13"/>
  <c r="Q123" i="13" s="1"/>
  <c r="F124" i="13"/>
  <c r="Q124" i="13" s="1"/>
  <c r="F125" i="13"/>
  <c r="Q125" i="13" s="1"/>
  <c r="F126" i="13"/>
  <c r="F127" i="13"/>
  <c r="F128" i="13"/>
  <c r="Q128" i="13" s="1"/>
  <c r="F129" i="13"/>
  <c r="Q129" i="13" s="1"/>
  <c r="F130" i="13"/>
  <c r="Q130" i="13" s="1"/>
  <c r="F131" i="13"/>
  <c r="Q131" i="13" s="1"/>
  <c r="F132" i="13"/>
  <c r="Q132" i="13" s="1"/>
  <c r="F133" i="13"/>
  <c r="Q133" i="13" s="1"/>
  <c r="F134" i="13"/>
  <c r="Q134" i="13" s="1"/>
  <c r="F135" i="13"/>
  <c r="Q135" i="13" s="1"/>
  <c r="F136" i="13"/>
  <c r="F137" i="13"/>
  <c r="Q137" i="13" s="1"/>
  <c r="F138" i="13"/>
  <c r="Q138" i="13" s="1"/>
  <c r="F139" i="13"/>
  <c r="Q139" i="13" s="1"/>
  <c r="F140" i="13"/>
  <c r="Q140" i="13" s="1"/>
  <c r="F141" i="13"/>
  <c r="Q141" i="13" s="1"/>
  <c r="F142" i="13"/>
  <c r="F143" i="13"/>
  <c r="Q143" i="13" s="1"/>
  <c r="F144" i="13"/>
  <c r="Q144" i="13" s="1"/>
  <c r="F145" i="13"/>
  <c r="Q145" i="13" s="1"/>
  <c r="F146" i="13"/>
  <c r="Q146" i="13" s="1"/>
  <c r="F147" i="13"/>
  <c r="Q147" i="13" s="1"/>
  <c r="F148" i="13"/>
  <c r="Q148" i="13" s="1"/>
  <c r="F149" i="13"/>
  <c r="Q149" i="13" s="1"/>
  <c r="F150" i="13"/>
  <c r="Q150" i="13" s="1"/>
  <c r="F151" i="13"/>
  <c r="F152" i="13"/>
  <c r="Q152" i="13" s="1"/>
  <c r="F153" i="13"/>
  <c r="Q153" i="13" s="1"/>
  <c r="F154" i="13"/>
  <c r="Q154" i="13" s="1"/>
  <c r="F155" i="13"/>
  <c r="Q155" i="13" s="1"/>
  <c r="F156" i="13"/>
  <c r="Q156" i="13" s="1"/>
  <c r="F157" i="13"/>
  <c r="Q157" i="13" s="1"/>
  <c r="F158" i="13"/>
  <c r="Q158" i="13" s="1"/>
  <c r="F159" i="13"/>
  <c r="Q159" i="13" s="1"/>
  <c r="F160" i="13"/>
  <c r="F161" i="13"/>
  <c r="Q161" i="13" s="1"/>
  <c r="F162" i="13"/>
  <c r="Q162" i="13" s="1"/>
  <c r="F163" i="13"/>
  <c r="Q163" i="13" s="1"/>
  <c r="F164" i="13"/>
  <c r="Q164" i="13" s="1"/>
  <c r="F165" i="13"/>
  <c r="Q165" i="13" s="1"/>
  <c r="F166" i="13"/>
  <c r="Q166" i="13" s="1"/>
  <c r="F167" i="13"/>
  <c r="Q167" i="13" s="1"/>
  <c r="F168" i="13"/>
  <c r="Q168" i="13" s="1"/>
  <c r="F169" i="13"/>
  <c r="Q169" i="13" s="1"/>
  <c r="F170" i="13"/>
  <c r="Q170" i="13" s="1"/>
  <c r="F171" i="13"/>
  <c r="Q171" i="13" s="1"/>
  <c r="F172" i="13"/>
  <c r="Q172" i="13" s="1"/>
  <c r="F173" i="13"/>
  <c r="Q173" i="13" s="1"/>
  <c r="F174" i="13"/>
  <c r="Q174" i="13" s="1"/>
  <c r="F175" i="13"/>
  <c r="Q175" i="13" s="1"/>
  <c r="F176" i="13"/>
  <c r="Q176" i="13" s="1"/>
  <c r="F177" i="13"/>
  <c r="Q177" i="13" s="1"/>
  <c r="F178" i="13"/>
  <c r="Q178" i="13" s="1"/>
  <c r="F179" i="13"/>
  <c r="Q179" i="13" s="1"/>
  <c r="F180" i="13"/>
  <c r="Q180" i="13" s="1"/>
  <c r="F181" i="13"/>
  <c r="Q181" i="13" s="1"/>
  <c r="F182" i="13"/>
  <c r="Q182" i="13" s="1"/>
  <c r="F183" i="13"/>
  <c r="Q183" i="13" s="1"/>
  <c r="F184" i="13"/>
  <c r="Q184" i="13" s="1"/>
  <c r="F185" i="13"/>
  <c r="Q185" i="13" s="1"/>
  <c r="F186" i="13"/>
  <c r="Q186" i="13" s="1"/>
  <c r="F187" i="13"/>
  <c r="Q187" i="13" s="1"/>
  <c r="F188" i="13"/>
  <c r="Q188" i="13" s="1"/>
  <c r="F189" i="13"/>
  <c r="Q189" i="13" s="1"/>
  <c r="F190" i="13"/>
  <c r="Q190" i="13" s="1"/>
  <c r="F191" i="13"/>
  <c r="Q191" i="13" s="1"/>
  <c r="F192" i="13"/>
  <c r="Q192" i="13" s="1"/>
  <c r="F193" i="13"/>
  <c r="Q193" i="13" s="1"/>
  <c r="F194" i="13"/>
  <c r="Q194" i="13" s="1"/>
  <c r="F195" i="13"/>
  <c r="Q195" i="13" s="1"/>
  <c r="F196" i="13"/>
  <c r="Q196" i="13" s="1"/>
  <c r="F197" i="13"/>
  <c r="Q197" i="13" s="1"/>
  <c r="F198" i="13"/>
  <c r="Q198" i="13" s="1"/>
  <c r="F199" i="13"/>
  <c r="Q199" i="13" s="1"/>
  <c r="F200" i="13"/>
  <c r="Q200" i="13" s="1"/>
  <c r="F201" i="13"/>
  <c r="Q201" i="13" s="1"/>
  <c r="F202" i="13"/>
  <c r="Q202" i="13" s="1"/>
  <c r="F203" i="13"/>
  <c r="Q203" i="13" s="1"/>
  <c r="F204" i="13"/>
  <c r="Q204" i="13" s="1"/>
  <c r="F205" i="13"/>
  <c r="Q205" i="13" s="1"/>
  <c r="F206" i="13"/>
  <c r="Q206" i="13" s="1"/>
  <c r="F207" i="13"/>
  <c r="Q207" i="13" s="1"/>
  <c r="F208" i="13"/>
  <c r="Q208" i="13" s="1"/>
  <c r="F209" i="13"/>
  <c r="Q209" i="13" s="1"/>
  <c r="F210" i="13"/>
  <c r="Q210" i="13" s="1"/>
  <c r="F211" i="13"/>
  <c r="Q211" i="13" s="1"/>
  <c r="F212" i="13"/>
  <c r="Q212" i="13" s="1"/>
  <c r="F213" i="13"/>
  <c r="Q213" i="13" s="1"/>
  <c r="F214" i="13"/>
  <c r="Q214" i="13" s="1"/>
  <c r="F215" i="13"/>
  <c r="Q215" i="13" s="1"/>
  <c r="F216" i="13"/>
  <c r="Q216" i="13" s="1"/>
  <c r="F217" i="13"/>
  <c r="Q217" i="13" s="1"/>
  <c r="F218" i="13"/>
  <c r="Q218" i="13" s="1"/>
  <c r="F219" i="13"/>
  <c r="Q219" i="13" s="1"/>
  <c r="F220" i="13"/>
  <c r="Q220" i="13" s="1"/>
  <c r="F221" i="13"/>
  <c r="Q221" i="13" s="1"/>
  <c r="F222" i="13"/>
  <c r="Q222" i="13" s="1"/>
  <c r="F223" i="13"/>
  <c r="Q223" i="13" s="1"/>
  <c r="F224" i="13"/>
  <c r="Q224" i="13" s="1"/>
  <c r="F225" i="13"/>
  <c r="Q225" i="13" s="1"/>
  <c r="F226" i="13"/>
  <c r="Q226" i="13" s="1"/>
  <c r="F227" i="13"/>
  <c r="Q227" i="13" s="1"/>
  <c r="F228" i="13"/>
  <c r="Q228" i="13" s="1"/>
  <c r="F229" i="13"/>
  <c r="Q229" i="13" s="1"/>
  <c r="F230" i="13"/>
  <c r="Q230" i="13" s="1"/>
  <c r="F231" i="13"/>
  <c r="Q231" i="13" s="1"/>
  <c r="F232" i="13"/>
  <c r="Q232" i="13" s="1"/>
  <c r="F233" i="13"/>
  <c r="Q233" i="13" s="1"/>
  <c r="F234" i="13"/>
  <c r="Q234" i="13" s="1"/>
  <c r="F235" i="13"/>
  <c r="Q235" i="13" s="1"/>
  <c r="F236" i="13"/>
  <c r="Q236" i="13" s="1"/>
  <c r="F237" i="13"/>
  <c r="Q237" i="13" s="1"/>
  <c r="F238" i="13"/>
  <c r="Q238" i="13" s="1"/>
  <c r="F239" i="13"/>
  <c r="Q239" i="13" s="1"/>
  <c r="F240" i="13"/>
  <c r="Q240" i="13" s="1"/>
  <c r="F241" i="13"/>
  <c r="Q241" i="13" s="1"/>
  <c r="F242" i="13"/>
  <c r="Q242" i="13" s="1"/>
  <c r="F243" i="13"/>
  <c r="Q243" i="13" s="1"/>
  <c r="F244" i="13"/>
  <c r="Q244" i="13" s="1"/>
  <c r="F245" i="13"/>
  <c r="Q245" i="13" s="1"/>
  <c r="F246" i="13"/>
  <c r="Q246" i="13" s="1"/>
  <c r="F247" i="13"/>
  <c r="F248" i="13"/>
  <c r="Q248" i="13" s="1"/>
  <c r="F249" i="13"/>
  <c r="Q249" i="13" s="1"/>
  <c r="F250" i="13"/>
  <c r="Q250" i="13" s="1"/>
  <c r="F251" i="13"/>
  <c r="Q251" i="13" s="1"/>
  <c r="F252" i="13"/>
  <c r="Q252" i="13" s="1"/>
  <c r="F253" i="13"/>
  <c r="Q253" i="13" s="1"/>
  <c r="F254" i="13"/>
  <c r="Q254" i="13" s="1"/>
  <c r="F255" i="13"/>
  <c r="Q255" i="13" s="1"/>
  <c r="F256" i="13"/>
  <c r="Q256" i="13" s="1"/>
  <c r="F257" i="13"/>
  <c r="Q257" i="13" s="1"/>
  <c r="F258" i="13"/>
  <c r="Q258" i="13" s="1"/>
  <c r="F259" i="13"/>
  <c r="Q259" i="13" s="1"/>
  <c r="F260" i="13"/>
  <c r="Q260" i="13" s="1"/>
  <c r="F261" i="13"/>
  <c r="Q261" i="13" s="1"/>
  <c r="F262" i="13"/>
  <c r="Q262" i="13" s="1"/>
  <c r="F263" i="13"/>
  <c r="Q263" i="13" s="1"/>
  <c r="F264" i="13"/>
  <c r="Q264" i="13" s="1"/>
  <c r="F265" i="13"/>
  <c r="Q265" i="13" s="1"/>
  <c r="F266" i="13"/>
  <c r="Q266" i="13" s="1"/>
  <c r="F267" i="13"/>
  <c r="Q267" i="13" s="1"/>
  <c r="F268" i="13"/>
  <c r="Q268" i="13" s="1"/>
  <c r="F269" i="13"/>
  <c r="Q269" i="13" s="1"/>
  <c r="F270" i="13"/>
  <c r="Q270" i="13" s="1"/>
  <c r="F271" i="13"/>
  <c r="Q271" i="13" s="1"/>
  <c r="F272" i="13"/>
  <c r="Q272" i="13" s="1"/>
  <c r="F273" i="13"/>
  <c r="Q273" i="13" s="1"/>
  <c r="F274" i="13"/>
  <c r="Q274" i="13" s="1"/>
  <c r="F275" i="13"/>
  <c r="Q275" i="13" s="1"/>
  <c r="F276" i="13"/>
  <c r="Q276" i="13" s="1"/>
  <c r="F277" i="13"/>
  <c r="Q277" i="13" s="1"/>
  <c r="F278" i="13"/>
  <c r="Q278" i="13" s="1"/>
  <c r="F279" i="13"/>
  <c r="Q279" i="13" s="1"/>
  <c r="F280" i="13"/>
  <c r="Q280" i="13" s="1"/>
  <c r="F281" i="13"/>
  <c r="Q281" i="13" s="1"/>
  <c r="F282" i="13"/>
  <c r="Q282" i="13" s="1"/>
  <c r="F283" i="13"/>
  <c r="Q283" i="13" s="1"/>
  <c r="F284" i="13"/>
  <c r="Q284" i="13" s="1"/>
  <c r="F285" i="13"/>
  <c r="Q285" i="13" s="1"/>
  <c r="F286" i="13"/>
  <c r="Q286" i="13" s="1"/>
  <c r="F287" i="13"/>
  <c r="Q287" i="13" s="1"/>
  <c r="F288" i="13"/>
  <c r="Q288" i="13" s="1"/>
  <c r="F289" i="13"/>
  <c r="Q289" i="13" s="1"/>
  <c r="F290" i="13"/>
  <c r="Q290" i="13" s="1"/>
  <c r="F291" i="13"/>
  <c r="Q291" i="13" s="1"/>
  <c r="F292" i="13"/>
  <c r="Q292" i="13" s="1"/>
  <c r="F293" i="13"/>
  <c r="Q293" i="13" s="1"/>
  <c r="F294" i="13"/>
  <c r="Q294" i="13" s="1"/>
  <c r="F295" i="13"/>
  <c r="Q295" i="13" s="1"/>
  <c r="F296" i="13"/>
  <c r="Q296" i="13" s="1"/>
  <c r="F297" i="13"/>
  <c r="Q297" i="13" s="1"/>
  <c r="F298" i="13"/>
  <c r="Q298" i="13" s="1"/>
  <c r="F299" i="13"/>
  <c r="Q299" i="13" s="1"/>
  <c r="F300" i="13"/>
  <c r="Q300" i="13" s="1"/>
  <c r="F301" i="13"/>
  <c r="Q301" i="13" s="1"/>
  <c r="F302" i="13"/>
  <c r="Q302" i="13" s="1"/>
  <c r="F303" i="13"/>
  <c r="Q303" i="13" s="1"/>
  <c r="F304" i="13"/>
  <c r="Q304" i="13" s="1"/>
  <c r="F305" i="13"/>
  <c r="Q305" i="13" s="1"/>
  <c r="F306" i="13"/>
  <c r="Q306" i="13" s="1"/>
  <c r="F307" i="13"/>
  <c r="Q307" i="13" s="1"/>
  <c r="F308" i="13"/>
  <c r="Q308" i="13" s="1"/>
  <c r="F309" i="13"/>
  <c r="Q309" i="13" s="1"/>
  <c r="F310" i="13"/>
  <c r="Q310" i="13" s="1"/>
  <c r="F311" i="13"/>
  <c r="Q311" i="13" s="1"/>
  <c r="F312" i="13"/>
  <c r="Q312" i="13" s="1"/>
  <c r="F313" i="13"/>
  <c r="Q313" i="13" s="1"/>
  <c r="F314" i="13"/>
  <c r="Q314" i="13" s="1"/>
  <c r="F315" i="13"/>
  <c r="Q315" i="13" s="1"/>
  <c r="F316" i="13"/>
  <c r="Q316" i="13" s="1"/>
  <c r="F317" i="13"/>
  <c r="Q317" i="13" s="1"/>
  <c r="F318" i="13"/>
  <c r="Q318" i="13" s="1"/>
  <c r="F319" i="13"/>
  <c r="Q319" i="13" s="1"/>
  <c r="F320" i="13"/>
  <c r="Q320" i="13" s="1"/>
  <c r="F321" i="13"/>
  <c r="Q321" i="13" s="1"/>
  <c r="F322" i="13"/>
  <c r="Q322" i="13" s="1"/>
  <c r="F323" i="13"/>
  <c r="Q323" i="13" s="1"/>
  <c r="F324" i="13"/>
  <c r="Q324" i="13" s="1"/>
  <c r="F325" i="13"/>
  <c r="Q325" i="13" s="1"/>
  <c r="F326" i="13"/>
  <c r="Q326" i="13" s="1"/>
  <c r="F327" i="13"/>
  <c r="Q327" i="13" s="1"/>
  <c r="F328" i="13"/>
  <c r="Q328" i="13" s="1"/>
  <c r="F329" i="13"/>
  <c r="Q329" i="13" s="1"/>
  <c r="F330" i="13"/>
  <c r="Q330" i="13" s="1"/>
  <c r="F331" i="13"/>
  <c r="Q331" i="13" s="1"/>
  <c r="F332" i="13"/>
  <c r="Q332" i="13" s="1"/>
  <c r="F333" i="13"/>
  <c r="Q333" i="13" s="1"/>
  <c r="F334" i="13"/>
  <c r="Q334" i="13" s="1"/>
  <c r="F335" i="13"/>
  <c r="Q335" i="13" s="1"/>
  <c r="F336" i="13"/>
  <c r="Q336" i="13" s="1"/>
  <c r="F337" i="13"/>
  <c r="Q337" i="13" s="1"/>
  <c r="F338" i="13"/>
  <c r="Q338" i="13" s="1"/>
  <c r="F339" i="13"/>
  <c r="Q339" i="13" s="1"/>
  <c r="F340" i="13"/>
  <c r="Q340" i="13" s="1"/>
  <c r="F341" i="13"/>
  <c r="Q341" i="13" s="1"/>
  <c r="F342" i="13"/>
  <c r="Q342" i="13" s="1"/>
  <c r="F343" i="13"/>
  <c r="Q343" i="13" s="1"/>
  <c r="F344" i="13"/>
  <c r="Q344" i="13" s="1"/>
  <c r="F345" i="13"/>
  <c r="Q345" i="13" s="1"/>
  <c r="F346" i="13"/>
  <c r="Q346" i="13" s="1"/>
  <c r="F347" i="13"/>
  <c r="Q347" i="13" s="1"/>
  <c r="F348" i="13"/>
  <c r="Q348" i="13" s="1"/>
  <c r="F349" i="13"/>
  <c r="Q349" i="13" s="1"/>
  <c r="F350" i="13"/>
  <c r="Q350" i="13" s="1"/>
  <c r="F351" i="13"/>
  <c r="Q351" i="13" s="1"/>
  <c r="F352" i="13"/>
  <c r="Q352" i="13" s="1"/>
  <c r="F353" i="13"/>
  <c r="Q353" i="13" s="1"/>
  <c r="F354" i="13"/>
  <c r="Q354" i="13" s="1"/>
  <c r="F355" i="13"/>
  <c r="Q355" i="13" s="1"/>
  <c r="F356" i="13"/>
  <c r="Q356" i="13" s="1"/>
  <c r="F357" i="13"/>
  <c r="Q357" i="13" s="1"/>
  <c r="F358" i="13"/>
  <c r="Q358" i="13" s="1"/>
  <c r="F359" i="13"/>
  <c r="Q359" i="13" s="1"/>
  <c r="F360" i="13"/>
  <c r="Q360" i="13" s="1"/>
  <c r="F361" i="13"/>
  <c r="Q361" i="13" s="1"/>
  <c r="F362" i="13"/>
  <c r="Q362" i="13" s="1"/>
  <c r="F363" i="13"/>
  <c r="Q363" i="13" s="1"/>
  <c r="F364" i="13"/>
  <c r="Q364" i="13" s="1"/>
  <c r="F365" i="13"/>
  <c r="Q365" i="13" s="1"/>
  <c r="F366" i="13"/>
  <c r="Q366" i="13" s="1"/>
  <c r="F367" i="13"/>
  <c r="Q367" i="13" s="1"/>
  <c r="F368" i="13"/>
  <c r="Q368" i="13" s="1"/>
  <c r="F369" i="13"/>
  <c r="Q369" i="13" s="1"/>
  <c r="F370" i="13"/>
  <c r="Q370" i="13" s="1"/>
  <c r="F371" i="13"/>
  <c r="Q371" i="13" s="1"/>
  <c r="F372" i="13"/>
  <c r="Q372" i="13" s="1"/>
  <c r="F373" i="13"/>
  <c r="Q373" i="13" s="1"/>
  <c r="F374" i="13"/>
  <c r="Q374" i="13" s="1"/>
  <c r="F375" i="13"/>
  <c r="Q375" i="13" s="1"/>
  <c r="F376" i="13"/>
  <c r="Q376" i="13" s="1"/>
  <c r="F377" i="13"/>
  <c r="Q377" i="13" s="1"/>
  <c r="F378" i="13"/>
  <c r="Q378" i="13" s="1"/>
  <c r="F379" i="13"/>
  <c r="Q379" i="13" s="1"/>
  <c r="F380" i="13"/>
  <c r="Q380" i="13" s="1"/>
  <c r="F381" i="13"/>
  <c r="Q381" i="13" s="1"/>
  <c r="F382" i="13"/>
  <c r="Q382" i="13" s="1"/>
  <c r="F383" i="13"/>
  <c r="Q383" i="13" s="1"/>
  <c r="F384" i="13"/>
  <c r="Q384" i="13" s="1"/>
  <c r="F385" i="13"/>
  <c r="Q385" i="13" s="1"/>
  <c r="F386" i="13"/>
  <c r="Q386" i="13" s="1"/>
  <c r="F387" i="13"/>
  <c r="Q387" i="13" s="1"/>
  <c r="F388" i="13"/>
  <c r="Q388" i="13" s="1"/>
  <c r="F389" i="13"/>
  <c r="Q389" i="13" s="1"/>
  <c r="F390" i="13"/>
  <c r="Q390" i="13" s="1"/>
  <c r="F391" i="13"/>
  <c r="Q391" i="13" s="1"/>
  <c r="F392" i="13"/>
  <c r="Q392" i="13" s="1"/>
  <c r="F393" i="13"/>
  <c r="Q393" i="13" s="1"/>
  <c r="F394" i="13"/>
  <c r="Q394" i="13" s="1"/>
  <c r="F395" i="13"/>
  <c r="Q395" i="13" s="1"/>
  <c r="F396" i="13"/>
  <c r="Q396" i="13" s="1"/>
  <c r="F397" i="13"/>
  <c r="Q397" i="13" s="1"/>
  <c r="F398" i="13"/>
  <c r="Q398" i="13" s="1"/>
  <c r="F399" i="13"/>
  <c r="Q399" i="13" s="1"/>
  <c r="F400" i="13"/>
  <c r="Q400" i="13" s="1"/>
  <c r="F401" i="13"/>
  <c r="Q401" i="13" s="1"/>
  <c r="F402" i="13"/>
  <c r="Q402" i="13" s="1"/>
  <c r="F403" i="13"/>
  <c r="Q403" i="13" s="1"/>
  <c r="F404" i="13"/>
  <c r="Q404" i="13" s="1"/>
  <c r="F405" i="13"/>
  <c r="Q405" i="13" s="1"/>
  <c r="F406" i="13"/>
  <c r="Q406" i="13" s="1"/>
  <c r="F407" i="13"/>
  <c r="Q407" i="13" s="1"/>
  <c r="F408" i="13"/>
  <c r="Q408" i="13" s="1"/>
  <c r="F409" i="13"/>
  <c r="Q409" i="13" s="1"/>
  <c r="F410" i="13"/>
  <c r="Q410" i="13" s="1"/>
  <c r="F411" i="13"/>
  <c r="Q411" i="13" s="1"/>
  <c r="F412" i="13"/>
  <c r="Q412" i="13" s="1"/>
  <c r="F413" i="13"/>
  <c r="Q413" i="13" s="1"/>
  <c r="F414" i="13"/>
  <c r="Q414" i="13" s="1"/>
  <c r="F415" i="13"/>
  <c r="Q415" i="13" s="1"/>
  <c r="F416" i="13"/>
  <c r="Q416" i="13" s="1"/>
  <c r="F417" i="13"/>
  <c r="Q417" i="13" s="1"/>
  <c r="F418" i="13"/>
  <c r="Q418" i="13" s="1"/>
  <c r="F419" i="13"/>
  <c r="Q419" i="13" s="1"/>
  <c r="F420" i="13"/>
  <c r="Q420" i="13" s="1"/>
  <c r="F421" i="13"/>
  <c r="Q421" i="13" s="1"/>
  <c r="F422" i="13"/>
  <c r="Q422" i="13" s="1"/>
  <c r="F423" i="13"/>
  <c r="Q423" i="13" s="1"/>
  <c r="F424" i="13"/>
  <c r="Q424" i="13" s="1"/>
  <c r="F425" i="13"/>
  <c r="Q425" i="13" s="1"/>
  <c r="F426" i="13"/>
  <c r="Q426" i="13" s="1"/>
  <c r="F427" i="13"/>
  <c r="Q427" i="13" s="1"/>
  <c r="F428" i="13"/>
  <c r="Q428" i="13" s="1"/>
  <c r="F429" i="13"/>
  <c r="Q429" i="13" s="1"/>
  <c r="Q430" i="13"/>
  <c r="Q31" i="13"/>
  <c r="Q33" i="13"/>
  <c r="Q37" i="13"/>
  <c r="Q38" i="13"/>
  <c r="Q39" i="13"/>
  <c r="Q40" i="13"/>
  <c r="Q45" i="13"/>
  <c r="Q46" i="13"/>
  <c r="Q53" i="13"/>
  <c r="Q54" i="13"/>
  <c r="Q61" i="13"/>
  <c r="Q62" i="13"/>
  <c r="Q69" i="13"/>
  <c r="Q70" i="13"/>
  <c r="Q72" i="13"/>
  <c r="Q77" i="13"/>
  <c r="Q78" i="13"/>
  <c r="Q85" i="13"/>
  <c r="Q93" i="13"/>
  <c r="Q96" i="13"/>
  <c r="Q101" i="13"/>
  <c r="Q104" i="13"/>
  <c r="Q109" i="13"/>
  <c r="Q126" i="13"/>
  <c r="Q127" i="13"/>
  <c r="Q136" i="13"/>
  <c r="Q142" i="13"/>
  <c r="Q151" i="13"/>
  <c r="Q160" i="13"/>
  <c r="Q247" i="13"/>
  <c r="G142" i="13" l="1"/>
  <c r="R142" i="13" s="1"/>
  <c r="G182" i="13"/>
  <c r="R182" i="13" s="1"/>
  <c r="G174" i="13"/>
  <c r="R174" i="13" s="1"/>
  <c r="G158" i="13"/>
  <c r="R158" i="13" s="1"/>
  <c r="G150" i="13"/>
  <c r="R150" i="13" s="1"/>
  <c r="G190" i="13"/>
  <c r="R190" i="13" s="1"/>
  <c r="G166" i="13"/>
  <c r="R166" i="13" s="1"/>
  <c r="G198" i="13"/>
  <c r="R198" i="13" s="1"/>
  <c r="G428" i="13"/>
  <c r="G420" i="13"/>
  <c r="G412" i="13"/>
  <c r="G404" i="13"/>
  <c r="R404" i="13" s="1"/>
  <c r="G396" i="13"/>
  <c r="R396" i="13" s="1"/>
  <c r="G388" i="13"/>
  <c r="R388" i="13" s="1"/>
  <c r="G380" i="13"/>
  <c r="R380" i="13" s="1"/>
  <c r="G372" i="13"/>
  <c r="R372" i="13" s="1"/>
  <c r="G364" i="13"/>
  <c r="R364" i="13" s="1"/>
  <c r="G356" i="13"/>
  <c r="R356" i="13" s="1"/>
  <c r="G348" i="13"/>
  <c r="R348" i="13" s="1"/>
  <c r="G340" i="13"/>
  <c r="R340" i="13" s="1"/>
  <c r="G332" i="13"/>
  <c r="R332" i="13" s="1"/>
  <c r="G324" i="13"/>
  <c r="R324" i="13" s="1"/>
  <c r="G316" i="13"/>
  <c r="R316" i="13" s="1"/>
  <c r="G308" i="13"/>
  <c r="R308" i="13" s="1"/>
  <c r="G300" i="13"/>
  <c r="R300" i="13" s="1"/>
  <c r="G292" i="13"/>
  <c r="R292" i="13" s="1"/>
  <c r="G284" i="13"/>
  <c r="R284" i="13" s="1"/>
  <c r="G276" i="13"/>
  <c r="R276" i="13" s="1"/>
  <c r="G268" i="13"/>
  <c r="R268" i="13" s="1"/>
  <c r="G260" i="13"/>
  <c r="R260" i="13" s="1"/>
  <c r="G252" i="13"/>
  <c r="R252" i="13" s="1"/>
  <c r="G244" i="13"/>
  <c r="R244" i="13" s="1"/>
  <c r="G236" i="13"/>
  <c r="R236" i="13" s="1"/>
  <c r="G228" i="13"/>
  <c r="R228" i="13" s="1"/>
  <c r="G220" i="13"/>
  <c r="R220" i="13" s="1"/>
  <c r="G212" i="13"/>
  <c r="R212" i="13" s="1"/>
  <c r="G204" i="13"/>
  <c r="R204" i="13" s="1"/>
  <c r="G196" i="13"/>
  <c r="R196" i="13" s="1"/>
  <c r="G188" i="13"/>
  <c r="R188" i="13" s="1"/>
  <c r="G180" i="13"/>
  <c r="R180" i="13" s="1"/>
  <c r="G172" i="13"/>
  <c r="R172" i="13" s="1"/>
  <c r="G164" i="13"/>
  <c r="R164" i="13" s="1"/>
  <c r="G156" i="13"/>
  <c r="R156" i="13" s="1"/>
  <c r="G148" i="13"/>
  <c r="R148" i="13" s="1"/>
  <c r="G140" i="13"/>
  <c r="R140" i="13" s="1"/>
  <c r="G132" i="13"/>
  <c r="R132" i="13" s="1"/>
  <c r="G124" i="13"/>
  <c r="R124" i="13" s="1"/>
  <c r="G116" i="13"/>
  <c r="R116" i="13" s="1"/>
  <c r="G108" i="13"/>
  <c r="R108" i="13" s="1"/>
  <c r="G100" i="13"/>
  <c r="R100" i="13" s="1"/>
  <c r="G92" i="13"/>
  <c r="R92" i="13" s="1"/>
  <c r="G84" i="13"/>
  <c r="R84" i="13" s="1"/>
  <c r="G76" i="13"/>
  <c r="R76" i="13" s="1"/>
  <c r="G68" i="13"/>
  <c r="R68" i="13" s="1"/>
  <c r="G60" i="13"/>
  <c r="R60" i="13" s="1"/>
  <c r="G52" i="13"/>
  <c r="R52" i="13" s="1"/>
  <c r="G44" i="13"/>
  <c r="R44" i="13" s="1"/>
  <c r="G36" i="13"/>
  <c r="R36" i="13" s="1"/>
  <c r="G346" i="13"/>
  <c r="R346" i="13" s="1"/>
  <c r="G218" i="13"/>
  <c r="R218" i="13" s="1"/>
  <c r="G33" i="13"/>
  <c r="R33" i="13" s="1"/>
  <c r="G429" i="13"/>
  <c r="G186" i="13"/>
  <c r="R186" i="13" s="1"/>
  <c r="G170" i="13"/>
  <c r="R170" i="13" s="1"/>
  <c r="G162" i="13"/>
  <c r="R162" i="13" s="1"/>
  <c r="G154" i="13"/>
  <c r="R154" i="13" s="1"/>
  <c r="G146" i="13"/>
  <c r="R146" i="13" s="1"/>
  <c r="G138" i="13"/>
  <c r="R138" i="13" s="1"/>
  <c r="G130" i="13"/>
  <c r="R130" i="13" s="1"/>
  <c r="G122" i="13"/>
  <c r="R122" i="13" s="1"/>
  <c r="G114" i="13"/>
  <c r="R114" i="13" s="1"/>
  <c r="G106" i="13"/>
  <c r="R106" i="13" s="1"/>
  <c r="G98" i="13"/>
  <c r="R98" i="13" s="1"/>
  <c r="G90" i="13"/>
  <c r="R90" i="13" s="1"/>
  <c r="G82" i="13"/>
  <c r="R82" i="13" s="1"/>
  <c r="G74" i="13"/>
  <c r="R74" i="13" s="1"/>
  <c r="G66" i="13"/>
  <c r="R66" i="13" s="1"/>
  <c r="G418" i="13"/>
  <c r="G370" i="13"/>
  <c r="R370" i="13" s="1"/>
  <c r="G290" i="13"/>
  <c r="R290" i="13" s="1"/>
  <c r="G242" i="13"/>
  <c r="R242" i="13" s="1"/>
  <c r="G202" i="13"/>
  <c r="R202" i="13" s="1"/>
  <c r="G426" i="13"/>
  <c r="G394" i="13"/>
  <c r="R394" i="13" s="1"/>
  <c r="G362" i="13"/>
  <c r="R362" i="13" s="1"/>
  <c r="G314" i="13"/>
  <c r="R314" i="13" s="1"/>
  <c r="G306" i="13"/>
  <c r="R306" i="13" s="1"/>
  <c r="G274" i="13"/>
  <c r="R274" i="13" s="1"/>
  <c r="G194" i="13"/>
  <c r="R194" i="13" s="1"/>
  <c r="G402" i="13"/>
  <c r="R402" i="13" s="1"/>
  <c r="G378" i="13"/>
  <c r="R378" i="13" s="1"/>
  <c r="G338" i="13"/>
  <c r="R338" i="13" s="1"/>
  <c r="G298" i="13"/>
  <c r="R298" i="13" s="1"/>
  <c r="G266" i="13"/>
  <c r="R266" i="13" s="1"/>
  <c r="G234" i="13"/>
  <c r="R234" i="13" s="1"/>
  <c r="G410" i="13"/>
  <c r="G386" i="13"/>
  <c r="R386" i="13" s="1"/>
  <c r="G354" i="13"/>
  <c r="R354" i="13" s="1"/>
  <c r="G330" i="13"/>
  <c r="R330" i="13" s="1"/>
  <c r="G282" i="13"/>
  <c r="R282" i="13" s="1"/>
  <c r="G258" i="13"/>
  <c r="R258" i="13" s="1"/>
  <c r="G178" i="13"/>
  <c r="R178" i="13" s="1"/>
  <c r="G31" i="13"/>
  <c r="R31" i="13" s="1"/>
  <c r="G423" i="13"/>
  <c r="G415" i="13"/>
  <c r="G327" i="13"/>
  <c r="R327" i="13" s="1"/>
  <c r="G319" i="13"/>
  <c r="R319" i="13" s="1"/>
  <c r="G311" i="13"/>
  <c r="R311" i="13" s="1"/>
  <c r="G303" i="13"/>
  <c r="R303" i="13" s="1"/>
  <c r="G295" i="13"/>
  <c r="R295" i="13" s="1"/>
  <c r="G279" i="13"/>
  <c r="R279" i="13" s="1"/>
  <c r="G271" i="13"/>
  <c r="R271" i="13" s="1"/>
  <c r="G263" i="13"/>
  <c r="R263" i="13" s="1"/>
  <c r="G58" i="13"/>
  <c r="R58" i="13" s="1"/>
  <c r="G50" i="13"/>
  <c r="R50" i="13" s="1"/>
  <c r="G42" i="13"/>
  <c r="R42" i="13" s="1"/>
  <c r="G134" i="13"/>
  <c r="R134" i="13" s="1"/>
  <c r="G126" i="13"/>
  <c r="R126" i="13" s="1"/>
  <c r="G118" i="13"/>
  <c r="R118" i="13" s="1"/>
  <c r="G110" i="13"/>
  <c r="R110" i="13" s="1"/>
  <c r="G200" i="13"/>
  <c r="R200" i="13" s="1"/>
  <c r="G192" i="13"/>
  <c r="R192" i="13" s="1"/>
  <c r="G102" i="13"/>
  <c r="R102" i="13" s="1"/>
  <c r="G184" i="13"/>
  <c r="R184" i="13" s="1"/>
  <c r="G176" i="13"/>
  <c r="R176" i="13" s="1"/>
  <c r="G168" i="13"/>
  <c r="R168" i="13" s="1"/>
  <c r="G160" i="13"/>
  <c r="R160" i="13" s="1"/>
  <c r="G94" i="13"/>
  <c r="R94" i="13" s="1"/>
  <c r="G86" i="13"/>
  <c r="R86" i="13" s="1"/>
  <c r="G78" i="13"/>
  <c r="R78" i="13" s="1"/>
  <c r="G70" i="13"/>
  <c r="R70" i="13" s="1"/>
  <c r="G61" i="13"/>
  <c r="R61" i="13" s="1"/>
  <c r="G53" i="13"/>
  <c r="R53" i="13" s="1"/>
  <c r="G45" i="13"/>
  <c r="R45" i="13" s="1"/>
  <c r="G37" i="13"/>
  <c r="R37" i="13" s="1"/>
  <c r="G337" i="13"/>
  <c r="R337" i="13" s="1"/>
  <c r="G297" i="13"/>
  <c r="R297" i="13" s="1"/>
  <c r="G273" i="13"/>
  <c r="R273" i="13" s="1"/>
  <c r="G265" i="13"/>
  <c r="R265" i="13" s="1"/>
  <c r="G257" i="13"/>
  <c r="R257" i="13" s="1"/>
  <c r="G249" i="13"/>
  <c r="R249" i="13" s="1"/>
  <c r="G241" i="13"/>
  <c r="R241" i="13" s="1"/>
  <c r="G233" i="13"/>
  <c r="R233" i="13" s="1"/>
  <c r="G225" i="13"/>
  <c r="R225" i="13" s="1"/>
  <c r="G217" i="13"/>
  <c r="R217" i="13" s="1"/>
  <c r="G209" i="13"/>
  <c r="R209" i="13" s="1"/>
  <c r="G201" i="13"/>
  <c r="R201" i="13" s="1"/>
  <c r="G416" i="13"/>
  <c r="G408" i="13"/>
  <c r="G400" i="13"/>
  <c r="R400" i="13" s="1"/>
  <c r="G392" i="13"/>
  <c r="R392" i="13" s="1"/>
  <c r="G384" i="13"/>
  <c r="R384" i="13" s="1"/>
  <c r="G376" i="13"/>
  <c r="R376" i="13" s="1"/>
  <c r="G368" i="13"/>
  <c r="R368" i="13" s="1"/>
  <c r="G360" i="13"/>
  <c r="R360" i="13" s="1"/>
  <c r="G352" i="13"/>
  <c r="R352" i="13" s="1"/>
  <c r="G344" i="13"/>
  <c r="R344" i="13" s="1"/>
  <c r="G336" i="13"/>
  <c r="R336" i="13" s="1"/>
  <c r="G288" i="13"/>
  <c r="R288" i="13" s="1"/>
  <c r="G152" i="13"/>
  <c r="R152" i="13" s="1"/>
  <c r="G144" i="13"/>
  <c r="R144" i="13" s="1"/>
  <c r="G136" i="13"/>
  <c r="R136" i="13" s="1"/>
  <c r="G128" i="13"/>
  <c r="R128" i="13" s="1"/>
  <c r="G120" i="13"/>
  <c r="R120" i="13" s="1"/>
  <c r="G112" i="13"/>
  <c r="R112" i="13" s="1"/>
  <c r="G104" i="13"/>
  <c r="R104" i="13" s="1"/>
  <c r="G96" i="13"/>
  <c r="R96" i="13" s="1"/>
  <c r="G88" i="13"/>
  <c r="R88" i="13" s="1"/>
  <c r="G80" i="13"/>
  <c r="R80" i="13" s="1"/>
  <c r="G72" i="13"/>
  <c r="R72" i="13" s="1"/>
  <c r="G64" i="13"/>
  <c r="R64" i="13" s="1"/>
  <c r="G56" i="13"/>
  <c r="R56" i="13" s="1"/>
  <c r="G48" i="13"/>
  <c r="R48" i="13" s="1"/>
  <c r="G40" i="13"/>
  <c r="R40" i="13" s="1"/>
  <c r="G32" i="13"/>
  <c r="R32" i="13" s="1"/>
  <c r="G255" i="13"/>
  <c r="R255" i="13" s="1"/>
  <c r="G247" i="13"/>
  <c r="R247" i="13" s="1"/>
  <c r="G239" i="13"/>
  <c r="R239" i="13" s="1"/>
  <c r="G231" i="13"/>
  <c r="R231" i="13" s="1"/>
  <c r="G223" i="13"/>
  <c r="R223" i="13" s="1"/>
  <c r="G422" i="13"/>
  <c r="G414" i="13"/>
  <c r="G406" i="13"/>
  <c r="G398" i="13"/>
  <c r="R398" i="13" s="1"/>
  <c r="G390" i="13"/>
  <c r="R390" i="13" s="1"/>
  <c r="G374" i="13"/>
  <c r="R374" i="13" s="1"/>
  <c r="G62" i="13"/>
  <c r="R62" i="13" s="1"/>
  <c r="G54" i="13"/>
  <c r="R54" i="13" s="1"/>
  <c r="G46" i="13"/>
  <c r="R46" i="13" s="1"/>
  <c r="G381" i="13"/>
  <c r="R381" i="13" s="1"/>
  <c r="G373" i="13"/>
  <c r="R373" i="13" s="1"/>
  <c r="G349" i="13"/>
  <c r="R349" i="13" s="1"/>
  <c r="G341" i="13"/>
  <c r="R341" i="13" s="1"/>
  <c r="G333" i="13"/>
  <c r="R333" i="13" s="1"/>
  <c r="G325" i="13"/>
  <c r="R325" i="13" s="1"/>
  <c r="G317" i="13"/>
  <c r="R317" i="13" s="1"/>
  <c r="G309" i="13"/>
  <c r="R309" i="13" s="1"/>
  <c r="G301" i="13"/>
  <c r="R301" i="13" s="1"/>
  <c r="G293" i="13"/>
  <c r="R293" i="13" s="1"/>
  <c r="G285" i="13"/>
  <c r="R285" i="13" s="1"/>
  <c r="G277" i="13"/>
  <c r="R277" i="13" s="1"/>
  <c r="G269" i="13"/>
  <c r="R269" i="13" s="1"/>
  <c r="G261" i="13"/>
  <c r="R261" i="13" s="1"/>
  <c r="G253" i="13"/>
  <c r="R253" i="13" s="1"/>
  <c r="G245" i="13"/>
  <c r="R245" i="13" s="1"/>
  <c r="G237" i="13"/>
  <c r="R237" i="13" s="1"/>
  <c r="G229" i="13"/>
  <c r="R229" i="13" s="1"/>
  <c r="G221" i="13"/>
  <c r="R221" i="13" s="1"/>
  <c r="G213" i="13"/>
  <c r="R213" i="13" s="1"/>
  <c r="G205" i="13"/>
  <c r="R205" i="13" s="1"/>
  <c r="G197" i="13"/>
  <c r="R197" i="13" s="1"/>
  <c r="G157" i="13"/>
  <c r="R157" i="13" s="1"/>
  <c r="G149" i="13"/>
  <c r="R149" i="13" s="1"/>
  <c r="G93" i="13"/>
  <c r="R93" i="13" s="1"/>
  <c r="G85" i="13"/>
  <c r="R85" i="13" s="1"/>
  <c r="G77" i="13"/>
  <c r="R77" i="13" s="1"/>
  <c r="G69" i="13"/>
  <c r="R69" i="13" s="1"/>
  <c r="G427" i="13"/>
  <c r="G419" i="13"/>
  <c r="G411" i="13"/>
  <c r="G403" i="13"/>
  <c r="R403" i="13" s="1"/>
  <c r="G395" i="13"/>
  <c r="R395" i="13" s="1"/>
  <c r="G387" i="13"/>
  <c r="R387" i="13" s="1"/>
  <c r="G379" i="13"/>
  <c r="R379" i="13" s="1"/>
  <c r="G371" i="13"/>
  <c r="R371" i="13" s="1"/>
  <c r="G363" i="13"/>
  <c r="R363" i="13" s="1"/>
  <c r="G355" i="13"/>
  <c r="R355" i="13" s="1"/>
  <c r="G347" i="13"/>
  <c r="R347" i="13" s="1"/>
  <c r="G339" i="13"/>
  <c r="R339" i="13" s="1"/>
  <c r="G331" i="13"/>
  <c r="R331" i="13" s="1"/>
  <c r="G323" i="13"/>
  <c r="R323" i="13" s="1"/>
  <c r="G315" i="13"/>
  <c r="R315" i="13" s="1"/>
  <c r="G307" i="13"/>
  <c r="R307" i="13" s="1"/>
  <c r="G299" i="13"/>
  <c r="R299" i="13" s="1"/>
  <c r="G291" i="13"/>
  <c r="R291" i="13" s="1"/>
  <c r="G283" i="13"/>
  <c r="R283" i="13" s="1"/>
  <c r="G275" i="13"/>
  <c r="R275" i="13" s="1"/>
  <c r="G267" i="13"/>
  <c r="R267" i="13" s="1"/>
  <c r="G259" i="13"/>
  <c r="R259" i="13" s="1"/>
  <c r="G251" i="13"/>
  <c r="R251" i="13" s="1"/>
  <c r="G243" i="13"/>
  <c r="R243" i="13" s="1"/>
  <c r="G235" i="13"/>
  <c r="R235" i="13" s="1"/>
  <c r="G227" i="13"/>
  <c r="R227" i="13" s="1"/>
  <c r="G219" i="13"/>
  <c r="R219" i="13" s="1"/>
  <c r="G211" i="13"/>
  <c r="R211" i="13" s="1"/>
  <c r="G203" i="13"/>
  <c r="R203" i="13" s="1"/>
  <c r="G195" i="13"/>
  <c r="R195" i="13" s="1"/>
  <c r="G187" i="13"/>
  <c r="R187" i="13" s="1"/>
  <c r="G179" i="13"/>
  <c r="R179" i="13" s="1"/>
  <c r="G171" i="13"/>
  <c r="R171" i="13" s="1"/>
  <c r="G163" i="13"/>
  <c r="R163" i="13" s="1"/>
  <c r="G155" i="13"/>
  <c r="R155" i="13" s="1"/>
  <c r="G147" i="13"/>
  <c r="R147" i="13" s="1"/>
  <c r="G139" i="13"/>
  <c r="R139" i="13" s="1"/>
  <c r="G131" i="13"/>
  <c r="R131" i="13" s="1"/>
  <c r="G123" i="13"/>
  <c r="R123" i="13" s="1"/>
  <c r="G115" i="13"/>
  <c r="R115" i="13" s="1"/>
  <c r="G107" i="13"/>
  <c r="R107" i="13" s="1"/>
  <c r="G99" i="13"/>
  <c r="R99" i="13" s="1"/>
  <c r="G91" i="13"/>
  <c r="R91" i="13" s="1"/>
  <c r="G83" i="13"/>
  <c r="R83" i="13" s="1"/>
  <c r="G75" i="13"/>
  <c r="R75" i="13" s="1"/>
  <c r="G67" i="13"/>
  <c r="R67" i="13" s="1"/>
  <c r="G59" i="13"/>
  <c r="R59" i="13" s="1"/>
  <c r="G51" i="13"/>
  <c r="R51" i="13" s="1"/>
  <c r="G43" i="13"/>
  <c r="R43" i="13" s="1"/>
  <c r="G35" i="13"/>
  <c r="R35" i="13" s="1"/>
  <c r="G322" i="13"/>
  <c r="R322" i="13" s="1"/>
  <c r="G250" i="13"/>
  <c r="R250" i="13" s="1"/>
  <c r="G226" i="13"/>
  <c r="R226" i="13" s="1"/>
  <c r="G210" i="13"/>
  <c r="R210" i="13" s="1"/>
  <c r="G425" i="13"/>
  <c r="G417" i="13"/>
  <c r="G409" i="13"/>
  <c r="G401" i="13"/>
  <c r="R401" i="13" s="1"/>
  <c r="G393" i="13"/>
  <c r="R393" i="13" s="1"/>
  <c r="G385" i="13"/>
  <c r="R385" i="13" s="1"/>
  <c r="G377" i="13"/>
  <c r="R377" i="13" s="1"/>
  <c r="G369" i="13"/>
  <c r="R369" i="13" s="1"/>
  <c r="G361" i="13"/>
  <c r="R361" i="13" s="1"/>
  <c r="G353" i="13"/>
  <c r="R353" i="13" s="1"/>
  <c r="G345" i="13"/>
  <c r="R345" i="13" s="1"/>
  <c r="G329" i="13"/>
  <c r="R329" i="13" s="1"/>
  <c r="G321" i="13"/>
  <c r="R321" i="13" s="1"/>
  <c r="G313" i="13"/>
  <c r="R313" i="13" s="1"/>
  <c r="G305" i="13"/>
  <c r="R305" i="13" s="1"/>
  <c r="G289" i="13"/>
  <c r="R289" i="13" s="1"/>
  <c r="G281" i="13"/>
  <c r="R281" i="13" s="1"/>
  <c r="G193" i="13"/>
  <c r="R193" i="13" s="1"/>
  <c r="G185" i="13"/>
  <c r="R185" i="13" s="1"/>
  <c r="G177" i="13"/>
  <c r="R177" i="13" s="1"/>
  <c r="G169" i="13"/>
  <c r="R169" i="13" s="1"/>
  <c r="G161" i="13"/>
  <c r="R161" i="13" s="1"/>
  <c r="G153" i="13"/>
  <c r="R153" i="13" s="1"/>
  <c r="G145" i="13"/>
  <c r="R145" i="13" s="1"/>
  <c r="G137" i="13"/>
  <c r="R137" i="13" s="1"/>
  <c r="G129" i="13"/>
  <c r="R129" i="13" s="1"/>
  <c r="G121" i="13"/>
  <c r="R121" i="13" s="1"/>
  <c r="G113" i="13"/>
  <c r="R113" i="13" s="1"/>
  <c r="G105" i="13"/>
  <c r="R105" i="13" s="1"/>
  <c r="G97" i="13"/>
  <c r="R97" i="13" s="1"/>
  <c r="G89" i="13"/>
  <c r="R89" i="13" s="1"/>
  <c r="G81" i="13"/>
  <c r="R81" i="13" s="1"/>
  <c r="G73" i="13"/>
  <c r="R73" i="13" s="1"/>
  <c r="G65" i="13"/>
  <c r="R65" i="13" s="1"/>
  <c r="G57" i="13"/>
  <c r="R57" i="13" s="1"/>
  <c r="G49" i="13"/>
  <c r="R49" i="13" s="1"/>
  <c r="G41" i="13"/>
  <c r="R41" i="13" s="1"/>
  <c r="G424" i="13"/>
  <c r="G328" i="13"/>
  <c r="R328" i="13" s="1"/>
  <c r="G320" i="13"/>
  <c r="R320" i="13" s="1"/>
  <c r="G312" i="13"/>
  <c r="R312" i="13" s="1"/>
  <c r="G304" i="13"/>
  <c r="R304" i="13" s="1"/>
  <c r="G296" i="13"/>
  <c r="R296" i="13" s="1"/>
  <c r="G280" i="13"/>
  <c r="R280" i="13" s="1"/>
  <c r="G272" i="13"/>
  <c r="R272" i="13" s="1"/>
  <c r="G264" i="13"/>
  <c r="R264" i="13" s="1"/>
  <c r="G256" i="13"/>
  <c r="R256" i="13" s="1"/>
  <c r="G248" i="13"/>
  <c r="R248" i="13" s="1"/>
  <c r="G240" i="13"/>
  <c r="R240" i="13" s="1"/>
  <c r="G232" i="13"/>
  <c r="R232" i="13" s="1"/>
  <c r="G224" i="13"/>
  <c r="R224" i="13" s="1"/>
  <c r="G216" i="13"/>
  <c r="R216" i="13" s="1"/>
  <c r="G208" i="13"/>
  <c r="R208" i="13" s="1"/>
  <c r="G407" i="13"/>
  <c r="G399" i="13"/>
  <c r="R399" i="13" s="1"/>
  <c r="G391" i="13"/>
  <c r="R391" i="13" s="1"/>
  <c r="G383" i="13"/>
  <c r="R383" i="13" s="1"/>
  <c r="G375" i="13"/>
  <c r="R375" i="13" s="1"/>
  <c r="G367" i="13"/>
  <c r="R367" i="13" s="1"/>
  <c r="G359" i="13"/>
  <c r="R359" i="13" s="1"/>
  <c r="G351" i="13"/>
  <c r="R351" i="13" s="1"/>
  <c r="G343" i="13"/>
  <c r="R343" i="13" s="1"/>
  <c r="G335" i="13"/>
  <c r="R335" i="13" s="1"/>
  <c r="G287" i="13"/>
  <c r="R287" i="13" s="1"/>
  <c r="G215" i="13"/>
  <c r="R215" i="13" s="1"/>
  <c r="G207" i="13"/>
  <c r="R207" i="13" s="1"/>
  <c r="G199" i="13"/>
  <c r="R199" i="13" s="1"/>
  <c r="G191" i="13"/>
  <c r="R191" i="13" s="1"/>
  <c r="G183" i="13"/>
  <c r="R183" i="13" s="1"/>
  <c r="G175" i="13"/>
  <c r="R175" i="13" s="1"/>
  <c r="G167" i="13"/>
  <c r="R167" i="13" s="1"/>
  <c r="G159" i="13"/>
  <c r="R159" i="13" s="1"/>
  <c r="G151" i="13"/>
  <c r="R151" i="13" s="1"/>
  <c r="G143" i="13"/>
  <c r="R143" i="13" s="1"/>
  <c r="G135" i="13"/>
  <c r="R135" i="13" s="1"/>
  <c r="G127" i="13"/>
  <c r="R127" i="13" s="1"/>
  <c r="G119" i="13"/>
  <c r="R119" i="13" s="1"/>
  <c r="G111" i="13"/>
  <c r="R111" i="13" s="1"/>
  <c r="G103" i="13"/>
  <c r="R103" i="13" s="1"/>
  <c r="G95" i="13"/>
  <c r="R95" i="13" s="1"/>
  <c r="G87" i="13"/>
  <c r="R87" i="13" s="1"/>
  <c r="G79" i="13"/>
  <c r="R79" i="13" s="1"/>
  <c r="G71" i="13"/>
  <c r="R71" i="13" s="1"/>
  <c r="G63" i="13"/>
  <c r="R63" i="13" s="1"/>
  <c r="G55" i="13"/>
  <c r="R55" i="13" s="1"/>
  <c r="G47" i="13"/>
  <c r="R47" i="13" s="1"/>
  <c r="G39" i="13"/>
  <c r="R39" i="13" s="1"/>
  <c r="G34" i="13"/>
  <c r="R34" i="13" s="1"/>
  <c r="G382" i="13"/>
  <c r="R382" i="13" s="1"/>
  <c r="G366" i="13"/>
  <c r="R366" i="13" s="1"/>
  <c r="G358" i="13"/>
  <c r="R358" i="13" s="1"/>
  <c r="G350" i="13"/>
  <c r="R350" i="13" s="1"/>
  <c r="G342" i="13"/>
  <c r="R342" i="13" s="1"/>
  <c r="G334" i="13"/>
  <c r="R334" i="13" s="1"/>
  <c r="G326" i="13"/>
  <c r="R326" i="13" s="1"/>
  <c r="G318" i="13"/>
  <c r="R318" i="13" s="1"/>
  <c r="G310" i="13"/>
  <c r="R310" i="13" s="1"/>
  <c r="G302" i="13"/>
  <c r="R302" i="13" s="1"/>
  <c r="G294" i="13"/>
  <c r="R294" i="13" s="1"/>
  <c r="G286" i="13"/>
  <c r="R286" i="13" s="1"/>
  <c r="G278" i="13"/>
  <c r="R278" i="13" s="1"/>
  <c r="G270" i="13"/>
  <c r="R270" i="13" s="1"/>
  <c r="G262" i="13"/>
  <c r="R262" i="13" s="1"/>
  <c r="G254" i="13"/>
  <c r="R254" i="13" s="1"/>
  <c r="G246" i="13"/>
  <c r="R246" i="13" s="1"/>
  <c r="G238" i="13"/>
  <c r="R238" i="13" s="1"/>
  <c r="G230" i="13"/>
  <c r="R230" i="13" s="1"/>
  <c r="G222" i="13"/>
  <c r="R222" i="13" s="1"/>
  <c r="G214" i="13"/>
  <c r="R214" i="13" s="1"/>
  <c r="G206" i="13"/>
  <c r="R206" i="13" s="1"/>
  <c r="G38" i="13"/>
  <c r="R38" i="13" s="1"/>
  <c r="G30" i="13"/>
  <c r="R30" i="13" s="1"/>
  <c r="G421" i="13"/>
  <c r="G413" i="13"/>
  <c r="G405" i="13"/>
  <c r="R405" i="13" s="1"/>
  <c r="G397" i="13"/>
  <c r="R397" i="13" s="1"/>
  <c r="G389" i="13"/>
  <c r="R389" i="13" s="1"/>
  <c r="G365" i="13"/>
  <c r="R365" i="13" s="1"/>
  <c r="G357" i="13"/>
  <c r="R357" i="13" s="1"/>
  <c r="G189" i="13"/>
  <c r="R189" i="13" s="1"/>
  <c r="G181" i="13"/>
  <c r="R181" i="13" s="1"/>
  <c r="G173" i="13"/>
  <c r="R173" i="13" s="1"/>
  <c r="G165" i="13"/>
  <c r="R165" i="13" s="1"/>
  <c r="G141" i="13"/>
  <c r="R141" i="13" s="1"/>
  <c r="G133" i="13"/>
  <c r="R133" i="13" s="1"/>
  <c r="G125" i="13"/>
  <c r="R125" i="13" s="1"/>
  <c r="G117" i="13"/>
  <c r="R117" i="13" s="1"/>
  <c r="G109" i="13"/>
  <c r="R109" i="13" s="1"/>
  <c r="G101" i="13"/>
  <c r="R101" i="13" s="1"/>
  <c r="J429" i="13"/>
  <c r="J74" i="13"/>
  <c r="J401" i="13"/>
  <c r="J287" i="13"/>
  <c r="J372" i="13"/>
  <c r="J291" i="13"/>
  <c r="J377" i="13"/>
  <c r="J104" i="13"/>
  <c r="J262" i="13"/>
  <c r="J300" i="13"/>
  <c r="J165" i="13"/>
  <c r="J298" i="13"/>
  <c r="J122" i="13"/>
  <c r="J350" i="13"/>
  <c r="J245" i="13"/>
  <c r="J301" i="13"/>
  <c r="J418" i="13"/>
  <c r="J263" i="13"/>
  <c r="J275" i="13"/>
  <c r="J203" i="13"/>
  <c r="J286" i="13"/>
  <c r="J252" i="13"/>
  <c r="J243" i="13"/>
  <c r="J353" i="13"/>
  <c r="J343" i="13"/>
  <c r="J381" i="13"/>
  <c r="J156" i="13"/>
  <c r="J308" i="13"/>
  <c r="J106" i="13"/>
  <c r="J385" i="13"/>
  <c r="J326" i="13"/>
  <c r="J268" i="13"/>
  <c r="J277" i="13"/>
  <c r="J82" i="13"/>
  <c r="J239" i="13"/>
  <c r="J322" i="13"/>
  <c r="J154" i="13"/>
  <c r="J405" i="13"/>
  <c r="J299" i="13"/>
  <c r="J195" i="13"/>
  <c r="J329" i="13"/>
  <c r="J223" i="13"/>
  <c r="J189" i="13"/>
  <c r="J371" i="13"/>
  <c r="J188" i="13"/>
  <c r="J273" i="13"/>
  <c r="J289" i="13"/>
  <c r="J302" i="13"/>
  <c r="J52" i="13"/>
  <c r="J253" i="13"/>
  <c r="J369" i="13"/>
  <c r="J215" i="13"/>
  <c r="J35" i="13"/>
  <c r="J249" i="13"/>
  <c r="J213" i="13"/>
  <c r="J33" i="13"/>
  <c r="J147" i="13"/>
  <c r="J305" i="13"/>
  <c r="J175" i="13"/>
  <c r="J284" i="13"/>
  <c r="J155" i="13"/>
  <c r="J355" i="13"/>
  <c r="J153" i="13"/>
  <c r="J193" i="13"/>
  <c r="J278" i="13"/>
  <c r="J362" i="13"/>
  <c r="J229" i="13"/>
  <c r="J419" i="13"/>
  <c r="J293" i="13"/>
  <c r="J56" i="13"/>
  <c r="J414" i="13"/>
  <c r="J36" i="13"/>
  <c r="J360" i="13"/>
  <c r="J242" i="13"/>
  <c r="J109" i="13"/>
  <c r="J255" i="13"/>
  <c r="J194" i="13"/>
  <c r="J198" i="13"/>
  <c r="J183" i="13"/>
  <c r="J412" i="13"/>
  <c r="J236" i="13"/>
  <c r="J38" i="13"/>
  <c r="J238" i="13"/>
  <c r="J430" i="13"/>
  <c r="J339" i="13"/>
  <c r="J254" i="13"/>
  <c r="J410" i="13"/>
  <c r="J157" i="13"/>
  <c r="J158" i="13"/>
  <c r="J80" i="13"/>
  <c r="J137" i="13"/>
  <c r="J365" i="13"/>
  <c r="J159" i="13"/>
  <c r="J364" i="13"/>
  <c r="J331" i="13"/>
  <c r="J84" i="13"/>
  <c r="J261" i="13"/>
  <c r="J374" i="13"/>
  <c r="J227" i="13"/>
  <c r="J191" i="13"/>
  <c r="J164" i="13"/>
  <c r="J126" i="13"/>
  <c r="J230" i="13"/>
  <c r="J367" i="13"/>
  <c r="J283" i="13"/>
  <c r="J169" i="13"/>
  <c r="J117" i="13"/>
  <c r="J77" i="13"/>
  <c r="J352" i="13"/>
  <c r="J226" i="13"/>
  <c r="J135" i="13"/>
  <c r="J363" i="13"/>
  <c r="J91" i="13"/>
  <c r="J251" i="13"/>
  <c r="J380" i="13"/>
  <c r="J266" i="13"/>
  <c r="J108" i="13"/>
  <c r="J346" i="13"/>
  <c r="J392" i="13"/>
  <c r="J399" i="13"/>
  <c r="J379" i="13"/>
  <c r="J351" i="13"/>
  <c r="J119" i="13"/>
  <c r="J129" i="13"/>
  <c r="J366" i="13"/>
  <c r="J103" i="13"/>
  <c r="J376" i="13"/>
  <c r="J53" i="13"/>
  <c r="J388" i="13"/>
  <c r="J315" i="13"/>
  <c r="J426" i="13"/>
  <c r="J58" i="13"/>
  <c r="J140" i="13"/>
  <c r="J382" i="13"/>
  <c r="J344" i="13"/>
  <c r="J167" i="13"/>
  <c r="J130" i="13"/>
  <c r="J264" i="13"/>
  <c r="J170" i="13"/>
  <c r="J192" i="13"/>
  <c r="J357" i="13"/>
  <c r="J424" i="13"/>
  <c r="J391" i="13"/>
  <c r="J190" i="13"/>
  <c r="J179" i="13"/>
  <c r="J285" i="13"/>
  <c r="J105" i="13"/>
  <c r="J338" i="13"/>
  <c r="J197" i="13"/>
  <c r="J125" i="13"/>
  <c r="J282" i="13"/>
  <c r="J358" i="13"/>
  <c r="J166" i="13"/>
  <c r="J368" i="13"/>
  <c r="J111" i="13"/>
  <c r="J72" i="13"/>
  <c r="J30" i="13"/>
  <c r="J177" i="13"/>
  <c r="J149" i="13"/>
  <c r="J186" i="13"/>
  <c r="J316" i="13"/>
  <c r="J237" i="13"/>
  <c r="J395" i="13"/>
  <c r="J145" i="13"/>
  <c r="J184" i="13"/>
  <c r="J220" i="13"/>
  <c r="J87" i="13"/>
  <c r="J267" i="13"/>
  <c r="J425" i="13"/>
  <c r="J225" i="13"/>
  <c r="J307" i="13"/>
  <c r="J325" i="13"/>
  <c r="J404" i="13"/>
  <c r="J49" i="13"/>
  <c r="J274" i="13"/>
  <c r="J152" i="13"/>
  <c r="J143" i="13"/>
  <c r="J413" i="13"/>
  <c r="J174" i="13"/>
  <c r="J133" i="13"/>
  <c r="J402" i="13"/>
  <c r="J221" i="13"/>
  <c r="J71" i="13"/>
  <c r="J85" i="13"/>
  <c r="J34" i="13"/>
  <c r="J110" i="13"/>
  <c r="J323" i="13"/>
  <c r="J89" i="13"/>
  <c r="J356" i="13"/>
  <c r="J65" i="13"/>
  <c r="J250" i="13"/>
  <c r="J389" i="13"/>
  <c r="J50" i="13"/>
  <c r="J348" i="13"/>
  <c r="J120" i="13"/>
  <c r="J340" i="13"/>
  <c r="J48" i="13"/>
  <c r="J142" i="13"/>
  <c r="J200" i="13"/>
  <c r="J292" i="13"/>
  <c r="J162" i="13"/>
  <c r="J244" i="13"/>
  <c r="J332" i="13"/>
  <c r="J107" i="13"/>
  <c r="J121" i="13"/>
  <c r="J160" i="13"/>
  <c r="J148" i="13"/>
  <c r="J63" i="13"/>
  <c r="J219" i="13"/>
  <c r="J400" i="13"/>
  <c r="J416" i="13"/>
  <c r="J235" i="13"/>
  <c r="J44" i="13"/>
  <c r="J333" i="13"/>
  <c r="J99" i="13"/>
  <c r="J205" i="13"/>
  <c r="J260" i="13"/>
  <c r="J427" i="13"/>
  <c r="J211" i="13"/>
  <c r="J361" i="13"/>
  <c r="J209" i="13"/>
  <c r="J182" i="13"/>
  <c r="J409" i="13"/>
  <c r="J334" i="13"/>
  <c r="J161" i="13"/>
  <c r="J279" i="13"/>
  <c r="J390" i="13"/>
  <c r="J217" i="13"/>
  <c r="J61" i="13"/>
  <c r="J246" i="13"/>
  <c r="J276" i="13"/>
  <c r="J69" i="13"/>
  <c r="J178" i="13"/>
  <c r="J330" i="13"/>
  <c r="J342" i="13"/>
  <c r="J384" i="13"/>
  <c r="J113" i="13"/>
  <c r="J328" i="13"/>
  <c r="J199" i="13"/>
  <c r="J231" i="13"/>
  <c r="J317" i="13"/>
  <c r="J141" i="13"/>
  <c r="J86" i="13"/>
  <c r="J240" i="13"/>
  <c r="J37" i="13"/>
  <c r="J45" i="13"/>
  <c r="J228" i="13"/>
  <c r="J296" i="13"/>
  <c r="J83" i="13"/>
  <c r="J98" i="13"/>
  <c r="J79" i="13"/>
  <c r="J232" i="13"/>
  <c r="J270" i="13"/>
  <c r="J204" i="13"/>
  <c r="J407" i="13"/>
  <c r="J118" i="13"/>
  <c r="J78" i="13"/>
  <c r="J196" i="13"/>
  <c r="J138" i="13"/>
  <c r="J172" i="13"/>
  <c r="J116" i="13"/>
  <c r="J370" i="13"/>
  <c r="J97" i="13"/>
  <c r="J136" i="13"/>
  <c r="J386" i="13"/>
  <c r="J39" i="13"/>
  <c r="J171" i="13"/>
  <c r="J423" i="13"/>
  <c r="J176" i="13"/>
  <c r="J421" i="13"/>
  <c r="J42" i="13"/>
  <c r="J40" i="13"/>
  <c r="J144" i="13"/>
  <c r="J201" i="13"/>
  <c r="J281" i="13"/>
  <c r="J181" i="13"/>
  <c r="J233" i="13"/>
  <c r="J319" i="13"/>
  <c r="J128" i="13"/>
  <c r="J31" i="13"/>
  <c r="J187" i="13"/>
  <c r="J55" i="13"/>
  <c r="J43" i="13"/>
  <c r="J303" i="13"/>
  <c r="J378" i="13"/>
  <c r="J134" i="13"/>
  <c r="J93" i="13"/>
  <c r="J336" i="13"/>
  <c r="J341" i="13"/>
  <c r="J288" i="13"/>
  <c r="J304" i="13"/>
  <c r="J151" i="13"/>
  <c r="J207" i="13"/>
  <c r="J280" i="13"/>
  <c r="J290" i="13"/>
  <c r="J258" i="13"/>
  <c r="J81" i="13"/>
  <c r="J173" i="13"/>
  <c r="J210" i="13"/>
  <c r="J309" i="13"/>
  <c r="J428" i="13"/>
  <c r="J383" i="13"/>
  <c r="J94" i="13"/>
  <c r="J212" i="13"/>
  <c r="J100" i="13"/>
  <c r="J114" i="13"/>
  <c r="J124" i="13"/>
  <c r="J403" i="13"/>
  <c r="J202" i="13"/>
  <c r="J408" i="13"/>
  <c r="J112" i="13"/>
  <c r="J96" i="13"/>
  <c r="J324" i="13"/>
  <c r="J123" i="13"/>
  <c r="J375" i="13"/>
  <c r="J271" i="13"/>
  <c r="J397" i="13"/>
  <c r="J420" i="13"/>
  <c r="J131" i="13"/>
  <c r="J32" i="13"/>
  <c r="J394" i="13"/>
  <c r="J115" i="13"/>
  <c r="J257" i="13"/>
  <c r="J146" i="13"/>
  <c r="J345" i="13"/>
  <c r="J297" i="13"/>
  <c r="J139" i="13"/>
  <c r="J265" i="13"/>
  <c r="J247" i="13"/>
  <c r="J224" i="13"/>
  <c r="J185" i="13"/>
  <c r="J132" i="13"/>
  <c r="J73" i="13"/>
  <c r="J47" i="13"/>
  <c r="J295" i="13"/>
  <c r="J318" i="13"/>
  <c r="J62" i="13"/>
  <c r="J59" i="13"/>
  <c r="J102" i="13"/>
  <c r="J415" i="13"/>
  <c r="J256" i="13"/>
  <c r="J234" i="13"/>
  <c r="J337" i="13"/>
  <c r="J208" i="13"/>
  <c r="J396" i="13"/>
  <c r="J359" i="13"/>
  <c r="J70" i="13"/>
  <c r="J92" i="13"/>
  <c r="J411" i="13"/>
  <c r="J90" i="13"/>
  <c r="J76" i="13"/>
  <c r="J259" i="13"/>
  <c r="J321" i="13"/>
  <c r="J312" i="13"/>
  <c r="J88" i="13"/>
  <c r="J310" i="13"/>
  <c r="J180" i="13"/>
  <c r="J75" i="13"/>
  <c r="J422" i="13"/>
  <c r="J127" i="13"/>
  <c r="J373" i="13"/>
  <c r="J311" i="13"/>
  <c r="J248" i="13"/>
  <c r="J393" i="13"/>
  <c r="J218" i="13"/>
  <c r="J150" i="13"/>
  <c r="J272" i="13"/>
  <c r="J206" i="13"/>
  <c r="J67" i="13"/>
  <c r="J269" i="13"/>
  <c r="J327" i="13"/>
  <c r="J95" i="13"/>
  <c r="J320" i="13"/>
  <c r="J313" i="13"/>
  <c r="J294" i="13"/>
  <c r="J354" i="13"/>
  <c r="J54" i="13"/>
  <c r="J306" i="13"/>
  <c r="J406" i="13"/>
  <c r="J216" i="13"/>
  <c r="J41" i="13"/>
  <c r="J101" i="13"/>
  <c r="J417" i="13"/>
  <c r="J241" i="13"/>
  <c r="J60" i="13"/>
  <c r="J335" i="13"/>
  <c r="J46" i="13"/>
  <c r="J68" i="13"/>
  <c r="J314" i="13"/>
  <c r="J66" i="13"/>
  <c r="J387" i="13"/>
  <c r="J163" i="13"/>
  <c r="J57" i="13"/>
  <c r="J168" i="13"/>
  <c r="J64" i="13"/>
  <c r="J214" i="13"/>
  <c r="J347" i="13"/>
  <c r="J51" i="13"/>
  <c r="J398" i="13"/>
  <c r="J222" i="13"/>
  <c r="J349" i="13"/>
  <c r="J25" i="13" l="1"/>
  <c r="K25" i="13"/>
  <c r="K23" i="13" s="1"/>
  <c r="P412" i="13" l="1"/>
  <c r="R412" i="13" s="1"/>
  <c r="P426" i="13"/>
  <c r="R426" i="13" s="1"/>
  <c r="P428" i="13"/>
  <c r="R428" i="13" s="1"/>
  <c r="P421" i="13"/>
  <c r="R421" i="13" s="1"/>
  <c r="P429" i="13"/>
  <c r="R429" i="13" s="1"/>
  <c r="P425" i="13"/>
  <c r="R425" i="13" s="1"/>
  <c r="P423" i="13"/>
  <c r="R423" i="13" s="1"/>
  <c r="P416" i="13"/>
  <c r="R416" i="13" s="1"/>
  <c r="P418" i="13"/>
  <c r="R418" i="13" s="1"/>
  <c r="P420" i="13"/>
  <c r="R420" i="13" s="1"/>
  <c r="P422" i="13"/>
  <c r="R422" i="13" s="1"/>
  <c r="P410" i="13"/>
  <c r="R410" i="13" s="1"/>
  <c r="P414" i="13"/>
  <c r="R414" i="13" s="1"/>
  <c r="P413" i="13"/>
  <c r="R413" i="13" s="1"/>
  <c r="P424" i="13"/>
  <c r="R424" i="13" s="1"/>
  <c r="P408" i="13"/>
  <c r="R408" i="13" s="1"/>
  <c r="P419" i="13"/>
  <c r="R419" i="13" s="1"/>
  <c r="P407" i="13"/>
  <c r="R407" i="13" s="1"/>
  <c r="P406" i="13"/>
  <c r="R406" i="13" s="1"/>
  <c r="P417" i="13"/>
  <c r="R417" i="13" s="1"/>
  <c r="P411" i="13"/>
  <c r="R411" i="13" s="1"/>
  <c r="P415" i="13"/>
  <c r="R415" i="13" s="1"/>
  <c r="P409" i="13"/>
  <c r="R409" i="13" s="1"/>
  <c r="P427" i="13"/>
  <c r="R427" i="13" s="1"/>
  <c r="S416" i="13" l="1"/>
  <c r="S423" i="13"/>
  <c r="S419" i="13"/>
  <c r="S428" i="13"/>
  <c r="S429" i="13"/>
  <c r="S426" i="13"/>
  <c r="S408" i="13"/>
  <c r="S405" i="13"/>
  <c r="S412" i="13"/>
  <c r="S417" i="13"/>
  <c r="S420" i="13"/>
  <c r="S406" i="13"/>
  <c r="S413" i="13"/>
  <c r="S427" i="13"/>
  <c r="S414" i="13"/>
  <c r="S418" i="13"/>
  <c r="S18" i="13"/>
  <c r="S409" i="13"/>
  <c r="S415" i="13"/>
  <c r="S422" i="13"/>
  <c r="S425" i="13"/>
  <c r="S410" i="13"/>
  <c r="S407" i="13"/>
  <c r="S421" i="13"/>
  <c r="S424" i="13"/>
  <c r="S411" i="13"/>
  <c r="S19" i="13"/>
  <c r="S20" i="13"/>
  <c r="S21" i="13"/>
  <c r="S17" i="13" l="1"/>
  <c r="S16" i="13"/>
  <c r="S14" i="13" l="1"/>
</calcChain>
</file>

<file path=xl/sharedStrings.xml><?xml version="1.0" encoding="utf-8"?>
<sst xmlns="http://schemas.openxmlformats.org/spreadsheetml/2006/main" count="204" uniqueCount="127">
  <si>
    <t>mm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</si>
  <si>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</si>
  <si>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</si>
  <si>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</si>
  <si>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</si>
  <si>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</si>
  <si>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</si>
  <si>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</si>
  <si>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</si>
  <si>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</si>
  <si>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theta(deg)</t>
  </si>
  <si>
    <t>theta(rad)</t>
  </si>
  <si>
    <t>r</t>
  </si>
  <si>
    <t>r'</t>
  </si>
  <si>
    <t>u</t>
  </si>
  <si>
    <t>v</t>
  </si>
  <si>
    <t>MIRROR BENDER CALCULATION AREA</t>
  </si>
  <si>
    <t>E</t>
  </si>
  <si>
    <t>N/mm^2</t>
  </si>
  <si>
    <t>b0</t>
  </si>
  <si>
    <t>h</t>
  </si>
  <si>
    <t>M1</t>
  </si>
  <si>
    <t>N-mm</t>
  </si>
  <si>
    <t>M2</t>
  </si>
  <si>
    <t>RATIO</t>
  </si>
  <si>
    <t>e</t>
  </si>
  <si>
    <t>L</t>
  </si>
  <si>
    <t>A</t>
  </si>
  <si>
    <t>B</t>
  </si>
  <si>
    <t>C</t>
  </si>
  <si>
    <t>D</t>
  </si>
  <si>
    <t>F</t>
  </si>
  <si>
    <t>G</t>
  </si>
  <si>
    <t>H</t>
  </si>
  <si>
    <t>C+DL/2</t>
  </si>
  <si>
    <t>C-DL/2</t>
  </si>
  <si>
    <t>ln(C+DL/2)</t>
  </si>
  <si>
    <t>ln(C-DL/2)</t>
  </si>
  <si>
    <t>Io</t>
  </si>
  <si>
    <t>mm^4</t>
  </si>
  <si>
    <t>um</t>
  </si>
  <si>
    <t>urad</t>
  </si>
  <si>
    <t>CYLINDER CALCULATOR</t>
  </si>
  <si>
    <t>nm</t>
  </si>
  <si>
    <t>nrad</t>
  </si>
  <si>
    <t>This spreadsheet calculates the required moments to obtain an elliptical shape using excel's</t>
  </si>
  <si>
    <t>Iterative solver capability.  The parameters in red are required inputs.  The parameters in blue</t>
  </si>
  <si>
    <t>Are either constant input parameters or variables to be solved depending on the assumed</t>
  </si>
  <si>
    <t xml:space="preserve">Boundary conditions.  The "ratio" parameter is used for a two moment bender where m2=m1*ratio. </t>
  </si>
  <si>
    <t xml:space="preserve">The user sets "ratio" = 1.0 in a single moment bender and that parmeter is treated as a constant.  </t>
  </si>
  <si>
    <t>The "e" parameter controls the trapezoidal shape of the substrate.  See the "derivation of equations"</t>
  </si>
  <si>
    <t>The elliptical mirror shape is calculated using the equations in malcolm howell's paper (columns a-d).</t>
  </si>
  <si>
    <t>The resulting shape is "normalized" such that displacement at mirror ends equal zero (column f-g).</t>
  </si>
  <si>
    <t>The elliptical mirror calculator is included in columns m-s.</t>
  </si>
  <si>
    <t>The raw ellipse versus normalized ellipse + best-fit cylinder data in columns u-x.</t>
  </si>
  <si>
    <t>Data for mirror bender for four operation scenarios, columns aa-ai.</t>
  </si>
  <si>
    <t>Mirror length between applied moments</t>
  </si>
  <si>
    <t>Element length used in calculator</t>
  </si>
  <si>
    <t xml:space="preserve">Elliptical mirror calculation </t>
  </si>
  <si>
    <t>Using Howells polynomial fit</t>
  </si>
  <si>
    <t xml:space="preserve">Norm </t>
  </si>
  <si>
    <t>Profile</t>
  </si>
  <si>
    <t>Slope</t>
  </si>
  <si>
    <t xml:space="preserve">Profile </t>
  </si>
  <si>
    <t>error</t>
  </si>
  <si>
    <t>theta (mrad)</t>
  </si>
  <si>
    <t>optimize length</t>
  </si>
  <si>
    <t>#_left</t>
  </si>
  <si>
    <t>#_right</t>
  </si>
  <si>
    <t>downstream</t>
  </si>
  <si>
    <t>upstream</t>
  </si>
  <si>
    <t>R (mm)</t>
  </si>
  <si>
    <t>&lt;= h (mm) &lt;=</t>
  </si>
  <si>
    <t>&lt;= M1 &lt;=</t>
  </si>
  <si>
    <t>&lt;= Ratio &lt;=</t>
  </si>
  <si>
    <t>&lt;= e &lt;=</t>
  </si>
  <si>
    <t>b0*(1+e)</t>
  </si>
  <si>
    <t>RMS (nm)</t>
  </si>
  <si>
    <r>
      <t>stdev (</t>
    </r>
    <r>
      <rPr>
        <b/>
        <sz val="11"/>
        <color theme="1" tint="4.9989318521683403E-2"/>
        <rFont val="Calibri"/>
        <family val="2"/>
      </rPr>
      <t>n</t>
    </r>
    <r>
      <rPr>
        <b/>
        <sz val="11"/>
        <color theme="1" tint="4.9989318521683403E-2"/>
        <rFont val="Calibri"/>
        <family val="2"/>
        <scheme val="minor"/>
      </rPr>
      <t>m)</t>
    </r>
  </si>
  <si>
    <t>Bent</t>
  </si>
  <si>
    <t>mirror</t>
  </si>
  <si>
    <t>profile</t>
  </si>
  <si>
    <t>slope</t>
  </si>
  <si>
    <t>Optimize for</t>
  </si>
  <si>
    <t>Height error RMS</t>
  </si>
  <si>
    <t>Slope error RMS</t>
  </si>
  <si>
    <t>Slope error stdev</t>
  </si>
  <si>
    <t>Slope error PV</t>
  </si>
  <si>
    <t>Height error stdev</t>
  </si>
  <si>
    <t>Height error PV</t>
  </si>
  <si>
    <t>For an explanation of how this variable relates to trapezoidal shape.  The user sets "e" to 0</t>
  </si>
  <si>
    <t>If the mirror has a rectangular profile and that parameter is treated as a constant.  It uses different</t>
  </si>
  <si>
    <t>equations to solve for rectangular profiles.</t>
  </si>
  <si>
    <t xml:space="preserve">A best fit cylinder calculator is included in columns i-k. </t>
  </si>
  <si>
    <t>y</t>
  </si>
  <si>
    <t>&lt;= b0 (mm)</t>
  </si>
  <si>
    <t>GRG Nonlinear</t>
  </si>
  <si>
    <t>Evolutionary</t>
  </si>
  <si>
    <t>Optimizer selection</t>
  </si>
  <si>
    <t>Which solver</t>
  </si>
  <si>
    <t>narrow end width</t>
  </si>
  <si>
    <t>wide end width</t>
  </si>
  <si>
    <t>shape parameter</t>
  </si>
  <si>
    <t>M2/M1</t>
  </si>
  <si>
    <t>Radius</t>
  </si>
  <si>
    <t>m</t>
  </si>
  <si>
    <t>Solve by minimizing</t>
  </si>
  <si>
    <t>full length</t>
  </si>
  <si>
    <t>narrow</t>
  </si>
  <si>
    <t>wid</t>
  </si>
  <si>
    <t>wide cal</t>
  </si>
  <si>
    <t>narrow cal</t>
  </si>
  <si>
    <t>moment length</t>
  </si>
  <si>
    <t>cut to moment length</t>
  </si>
  <si>
    <t>extend to full length</t>
  </si>
  <si>
    <t>KB1H</t>
  </si>
  <si>
    <t>KB1V</t>
  </si>
  <si>
    <t>Gravity sag</t>
  </si>
  <si>
    <t>ρ</t>
  </si>
  <si>
    <t>g/cm^3</t>
  </si>
  <si>
    <t>density</t>
  </si>
  <si>
    <t>Modulus</t>
  </si>
  <si>
    <t>I_avg</t>
  </si>
  <si>
    <t xml:space="preserve">weight/length </t>
  </si>
  <si>
    <t>N/mm</t>
  </si>
  <si>
    <t>2.33 for Si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</si>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</sst>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0"/>
    <numFmt numFmtId="165" formatCode="0.00000"/>
    <numFmt numFmtId="166" formatCode="0.0000"/>
    <numFmt numFmtId="167" formatCode="0.0000000"/>
    <numFmt numFmtId="168" formatCode="0.000"/>
    <numFmt numFmtId="169" formatCode="0.0"/>
    <numFmt numFmtId="170" formatCode="0.000000"/>
  </numFmts>
  <fonts count="13" x14ac:knownFonts="1">
    <font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</font>
    <font>
      <b/>
      <sz val="11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1" fontId="0" fillId="0" borderId="2" xfId="0" applyNumberFormat="1" applyBorder="1"/>
    <xf numFmtId="11" fontId="0" fillId="0" borderId="3" xfId="0" applyNumberFormat="1" applyBorder="1"/>
    <xf numFmtId="11" fontId="0" fillId="0" borderId="0" xfId="0" applyNumberFormat="1"/>
    <xf numFmtId="0" fontId="0" fillId="0" borderId="3" xfId="0" applyBorder="1"/>
    <xf numFmtId="0" fontId="1" fillId="0" borderId="0" xfId="0" applyFont="1"/>
    <xf numFmtId="0" fontId="0" fillId="0" borderId="0" xfId="0" applyAlignment="1">
      <alignment horizontal="right"/>
    </xf>
    <xf numFmtId="0" fontId="2" fillId="0" borderId="0" xfId="0" applyFont="1" applyAlignment="1">
      <alignment vertical="center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5" xfId="0" applyFont="1" applyBorder="1" applyAlignment="1">
      <alignment vertical="center" wrapText="1"/>
    </xf>
    <xf numFmtId="166" fontId="0" fillId="0" borderId="0" xfId="0" applyNumberFormat="1"/>
    <xf numFmtId="165" fontId="3" fillId="0" borderId="0" xfId="0" applyNumberFormat="1" applyFont="1"/>
    <xf numFmtId="164" fontId="4" fillId="0" borderId="0" xfId="0" applyNumberFormat="1" applyFont="1"/>
    <xf numFmtId="2" fontId="0" fillId="0" borderId="0" xfId="0" applyNumberFormat="1"/>
    <xf numFmtId="0" fontId="0" fillId="0" borderId="0" xfId="0" applyAlignment="1">
      <alignment horizontal="center"/>
    </xf>
    <xf numFmtId="165" fontId="0" fillId="0" borderId="5" xfId="0" applyNumberFormat="1" applyBorder="1"/>
    <xf numFmtId="165" fontId="0" fillId="0" borderId="8" xfId="0" applyNumberFormat="1" applyBorder="1"/>
    <xf numFmtId="167" fontId="0" fillId="0" borderId="4" xfId="0" applyNumberFormat="1" applyBorder="1"/>
    <xf numFmtId="167" fontId="0" fillId="0" borderId="6" xfId="0" applyNumberFormat="1" applyBorder="1"/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right"/>
    </xf>
    <xf numFmtId="0" fontId="3" fillId="0" borderId="0" xfId="0" applyFont="1"/>
    <xf numFmtId="0" fontId="7" fillId="0" borderId="0" xfId="0" applyFont="1"/>
    <xf numFmtId="0" fontId="7" fillId="0" borderId="5" xfId="0" applyFont="1" applyBorder="1" applyAlignment="1">
      <alignment horizontal="center"/>
    </xf>
    <xf numFmtId="0" fontId="7" fillId="0" borderId="0" xfId="0" applyFont="1" applyAlignment="1">
      <alignment horizontal="center"/>
    </xf>
    <xf numFmtId="2" fontId="7" fillId="0" borderId="5" xfId="0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0" fontId="3" fillId="2" borderId="10" xfId="0" applyFont="1" applyFill="1" applyBorder="1"/>
    <xf numFmtId="0" fontId="3" fillId="2" borderId="11" xfId="0" applyFont="1" applyFill="1" applyBorder="1"/>
    <xf numFmtId="0" fontId="3" fillId="2" borderId="3" xfId="0" applyFont="1" applyFill="1" applyBorder="1"/>
    <xf numFmtId="1" fontId="3" fillId="2" borderId="5" xfId="0" applyNumberFormat="1" applyFont="1" applyFill="1" applyBorder="1"/>
    <xf numFmtId="1" fontId="3" fillId="2" borderId="8" xfId="0" applyNumberFormat="1" applyFont="1" applyFill="1" applyBorder="1"/>
    <xf numFmtId="11" fontId="3" fillId="2" borderId="3" xfId="0" applyNumberFormat="1" applyFont="1" applyFill="1" applyBorder="1" applyAlignment="1">
      <alignment horizontal="right"/>
    </xf>
    <xf numFmtId="0" fontId="3" fillId="2" borderId="5" xfId="0" applyFont="1" applyFill="1" applyBorder="1" applyAlignment="1">
      <alignment horizontal="right"/>
    </xf>
    <xf numFmtId="0" fontId="3" fillId="2" borderId="8" xfId="0" applyFont="1" applyFill="1" applyBorder="1" applyAlignment="1">
      <alignment horizontal="right"/>
    </xf>
    <xf numFmtId="0" fontId="5" fillId="3" borderId="0" xfId="0" applyFont="1" applyFill="1" applyAlignment="1">
      <alignment horizontal="right"/>
    </xf>
    <xf numFmtId="0" fontId="6" fillId="3" borderId="1" xfId="0" applyFont="1" applyFill="1" applyBorder="1" applyAlignment="1">
      <alignment vertical="center"/>
    </xf>
    <xf numFmtId="0" fontId="0" fillId="3" borderId="4" xfId="0" applyFill="1" applyBorder="1"/>
    <xf numFmtId="0" fontId="6" fillId="3" borderId="4" xfId="0" applyFont="1" applyFill="1" applyBorder="1" applyAlignment="1">
      <alignment vertical="center"/>
    </xf>
    <xf numFmtId="0" fontId="6" fillId="3" borderId="6" xfId="0" applyFont="1" applyFill="1" applyBorder="1" applyAlignment="1">
      <alignment vertical="center"/>
    </xf>
    <xf numFmtId="0" fontId="3" fillId="2" borderId="5" xfId="0" applyFont="1" applyFill="1" applyBorder="1"/>
    <xf numFmtId="0" fontId="7" fillId="2" borderId="4" xfId="0" applyFont="1" applyFill="1" applyBorder="1"/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5" xfId="0" applyFill="1" applyBorder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6" fillId="3" borderId="5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/>
    </xf>
    <xf numFmtId="0" fontId="10" fillId="2" borderId="9" xfId="0" applyFont="1" applyFill="1" applyBorder="1" applyAlignment="1">
      <alignment vertical="center"/>
    </xf>
    <xf numFmtId="0" fontId="6" fillId="2" borderId="10" xfId="0" applyFont="1" applyFill="1" applyBorder="1"/>
    <xf numFmtId="0" fontId="6" fillId="2" borderId="1" xfId="0" applyFont="1" applyFill="1" applyBorder="1"/>
    <xf numFmtId="0" fontId="6" fillId="2" borderId="4" xfId="0" applyFont="1" applyFill="1" applyBorder="1"/>
    <xf numFmtId="0" fontId="6" fillId="2" borderId="6" xfId="0" applyFont="1" applyFill="1" applyBorder="1"/>
    <xf numFmtId="0" fontId="6" fillId="3" borderId="0" xfId="0" applyFont="1" applyFill="1"/>
    <xf numFmtId="0" fontId="6" fillId="3" borderId="0" xfId="0" applyFont="1" applyFill="1" applyAlignment="1">
      <alignment horizontal="right"/>
    </xf>
    <xf numFmtId="0" fontId="6" fillId="0" borderId="1" xfId="0" applyFont="1" applyBorder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0" xfId="0" applyFont="1" applyAlignment="1">
      <alignment horizontal="center"/>
    </xf>
    <xf numFmtId="1" fontId="6" fillId="0" borderId="5" xfId="0" applyNumberFormat="1" applyFont="1" applyBorder="1" applyAlignment="1">
      <alignment horizontal="left"/>
    </xf>
    <xf numFmtId="0" fontId="6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left"/>
    </xf>
    <xf numFmtId="168" fontId="0" fillId="0" borderId="0" xfId="0" applyNumberFormat="1"/>
    <xf numFmtId="11" fontId="9" fillId="0" borderId="4" xfId="0" applyNumberFormat="1" applyFont="1" applyBorder="1" applyAlignment="1">
      <alignment horizontal="center"/>
    </xf>
    <xf numFmtId="169" fontId="0" fillId="0" borderId="0" xfId="0" applyNumberFormat="1"/>
    <xf numFmtId="169" fontId="6" fillId="0" borderId="0" xfId="0" applyNumberFormat="1" applyFont="1"/>
    <xf numFmtId="166" fontId="6" fillId="0" borderId="0" xfId="0" applyNumberFormat="1" applyFont="1"/>
    <xf numFmtId="0" fontId="11" fillId="0" borderId="0" xfId="0" applyFont="1"/>
    <xf numFmtId="165" fontId="0" fillId="0" borderId="0" xfId="0" applyNumberFormat="1" applyAlignment="1">
      <alignment horizontal="center"/>
    </xf>
    <xf numFmtId="170" fontId="0" fillId="0" borderId="0" xfId="0" applyNumberFormat="1"/>
    <xf numFmtId="0" fontId="3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57775"/>
      <color rgb="FFCC7E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70C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>
                <a:solidFill>
                  <a:srgbClr val="0070C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Height error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0017224409448825E-2"/>
          <c:y val="0.14356372120151648"/>
          <c:w val="0.87442722003499562"/>
          <c:h val="0.77790099154272385"/>
        </c:manualLayout>
      </c:layout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CALCULATIONS!$N$30:$N$430</c:f>
              <c:numCache>
                <c:formatCode>General</c:formatCode>
                <c:ptCount val="401"/>
                <c:pt idx="0">
                  <c:v>-138</c:v>
                </c:pt>
                <c:pt idx="1">
                  <c:v>-137.31</c:v>
                </c:pt>
                <c:pt idx="2">
                  <c:v>-136.62</c:v>
                </c:pt>
                <c:pt idx="3">
                  <c:v>-135.93</c:v>
                </c:pt>
                <c:pt idx="4">
                  <c:v>-135.24</c:v>
                </c:pt>
                <c:pt idx="5">
                  <c:v>-134.55000000000001</c:v>
                </c:pt>
                <c:pt idx="6">
                  <c:v>-133.86000000000001</c:v>
                </c:pt>
                <c:pt idx="7">
                  <c:v>-133.17000000000002</c:v>
                </c:pt>
                <c:pt idx="8">
                  <c:v>-132.48000000000002</c:v>
                </c:pt>
                <c:pt idx="9">
                  <c:v>-131.79000000000002</c:v>
                </c:pt>
                <c:pt idx="10">
                  <c:v>-131.10000000000002</c:v>
                </c:pt>
                <c:pt idx="11">
                  <c:v>-130.41000000000003</c:v>
                </c:pt>
                <c:pt idx="12">
                  <c:v>-129.72000000000003</c:v>
                </c:pt>
                <c:pt idx="13">
                  <c:v>-129.03000000000003</c:v>
                </c:pt>
                <c:pt idx="14">
                  <c:v>-128.34000000000003</c:v>
                </c:pt>
                <c:pt idx="15">
                  <c:v>-127.65000000000003</c:v>
                </c:pt>
                <c:pt idx="16">
                  <c:v>-126.96000000000004</c:v>
                </c:pt>
                <c:pt idx="17">
                  <c:v>-126.27000000000004</c:v>
                </c:pt>
                <c:pt idx="18">
                  <c:v>-125.58000000000004</c:v>
                </c:pt>
                <c:pt idx="19">
                  <c:v>-124.89000000000004</c:v>
                </c:pt>
                <c:pt idx="20">
                  <c:v>-124.20000000000005</c:v>
                </c:pt>
                <c:pt idx="21">
                  <c:v>-123.51000000000005</c:v>
                </c:pt>
                <c:pt idx="22">
                  <c:v>-122.82000000000005</c:v>
                </c:pt>
                <c:pt idx="23">
                  <c:v>-122.13000000000005</c:v>
                </c:pt>
                <c:pt idx="24">
                  <c:v>-121.44000000000005</c:v>
                </c:pt>
                <c:pt idx="25">
                  <c:v>-120.75000000000006</c:v>
                </c:pt>
                <c:pt idx="26">
                  <c:v>-120.06000000000006</c:v>
                </c:pt>
                <c:pt idx="27">
                  <c:v>-119.37000000000006</c:v>
                </c:pt>
                <c:pt idx="28">
                  <c:v>-118.68000000000006</c:v>
                </c:pt>
                <c:pt idx="29">
                  <c:v>-117.99000000000007</c:v>
                </c:pt>
                <c:pt idx="30">
                  <c:v>-117.30000000000007</c:v>
                </c:pt>
                <c:pt idx="31">
                  <c:v>-116.61000000000007</c:v>
                </c:pt>
                <c:pt idx="32">
                  <c:v>-115.92000000000007</c:v>
                </c:pt>
                <c:pt idx="33">
                  <c:v>-115.23000000000008</c:v>
                </c:pt>
                <c:pt idx="34">
                  <c:v>-114.54000000000008</c:v>
                </c:pt>
                <c:pt idx="35">
                  <c:v>-113.85000000000008</c:v>
                </c:pt>
                <c:pt idx="36">
                  <c:v>-113.16000000000008</c:v>
                </c:pt>
                <c:pt idx="37">
                  <c:v>-112.47000000000008</c:v>
                </c:pt>
                <c:pt idx="38">
                  <c:v>-111.78000000000009</c:v>
                </c:pt>
                <c:pt idx="39">
                  <c:v>-111.09000000000009</c:v>
                </c:pt>
                <c:pt idx="40">
                  <c:v>-110.40000000000009</c:v>
                </c:pt>
                <c:pt idx="41">
                  <c:v>-109.71000000000009</c:v>
                </c:pt>
                <c:pt idx="42">
                  <c:v>-109.0200000000001</c:v>
                </c:pt>
                <c:pt idx="43">
                  <c:v>-108.3300000000001</c:v>
                </c:pt>
                <c:pt idx="44">
                  <c:v>-107.6400000000001</c:v>
                </c:pt>
                <c:pt idx="45">
                  <c:v>-106.9500000000001</c:v>
                </c:pt>
                <c:pt idx="46">
                  <c:v>-106.2600000000001</c:v>
                </c:pt>
                <c:pt idx="47">
                  <c:v>-105.57000000000011</c:v>
                </c:pt>
                <c:pt idx="48">
                  <c:v>-104.88000000000011</c:v>
                </c:pt>
                <c:pt idx="49">
                  <c:v>-104.19000000000011</c:v>
                </c:pt>
                <c:pt idx="50">
                  <c:v>-103.50000000000011</c:v>
                </c:pt>
                <c:pt idx="51">
                  <c:v>-102.81000000000012</c:v>
                </c:pt>
                <c:pt idx="52">
                  <c:v>-102.12000000000012</c:v>
                </c:pt>
                <c:pt idx="53">
                  <c:v>-101.43000000000012</c:v>
                </c:pt>
                <c:pt idx="54">
                  <c:v>-100.74000000000012</c:v>
                </c:pt>
                <c:pt idx="55">
                  <c:v>-100.05000000000013</c:v>
                </c:pt>
                <c:pt idx="56">
                  <c:v>-99.360000000000127</c:v>
                </c:pt>
                <c:pt idx="57">
                  <c:v>-98.67000000000013</c:v>
                </c:pt>
                <c:pt idx="58">
                  <c:v>-97.980000000000132</c:v>
                </c:pt>
                <c:pt idx="59">
                  <c:v>-97.290000000000134</c:v>
                </c:pt>
                <c:pt idx="60">
                  <c:v>-96.600000000000136</c:v>
                </c:pt>
                <c:pt idx="61">
                  <c:v>-95.910000000000139</c:v>
                </c:pt>
                <c:pt idx="62">
                  <c:v>-95.220000000000141</c:v>
                </c:pt>
                <c:pt idx="63">
                  <c:v>-94.530000000000143</c:v>
                </c:pt>
                <c:pt idx="64">
                  <c:v>-93.840000000000146</c:v>
                </c:pt>
                <c:pt idx="65">
                  <c:v>-93.150000000000148</c:v>
                </c:pt>
                <c:pt idx="66">
                  <c:v>-92.46000000000015</c:v>
                </c:pt>
                <c:pt idx="67">
                  <c:v>-91.770000000000152</c:v>
                </c:pt>
                <c:pt idx="68">
                  <c:v>-91.080000000000155</c:v>
                </c:pt>
                <c:pt idx="69">
                  <c:v>-90.390000000000157</c:v>
                </c:pt>
                <c:pt idx="70">
                  <c:v>-89.700000000000159</c:v>
                </c:pt>
                <c:pt idx="71">
                  <c:v>-89.010000000000161</c:v>
                </c:pt>
                <c:pt idx="72">
                  <c:v>-88.320000000000164</c:v>
                </c:pt>
                <c:pt idx="73">
                  <c:v>-87.630000000000166</c:v>
                </c:pt>
                <c:pt idx="74">
                  <c:v>-86.940000000000168</c:v>
                </c:pt>
                <c:pt idx="75">
                  <c:v>-86.250000000000171</c:v>
                </c:pt>
                <c:pt idx="76">
                  <c:v>-85.560000000000173</c:v>
                </c:pt>
                <c:pt idx="77">
                  <c:v>-84.870000000000175</c:v>
                </c:pt>
                <c:pt idx="78">
                  <c:v>-84.180000000000177</c:v>
                </c:pt>
                <c:pt idx="79">
                  <c:v>-83.49000000000018</c:v>
                </c:pt>
                <c:pt idx="80">
                  <c:v>-82.800000000000182</c:v>
                </c:pt>
                <c:pt idx="81">
                  <c:v>-82.110000000000184</c:v>
                </c:pt>
                <c:pt idx="82">
                  <c:v>-81.420000000000186</c:v>
                </c:pt>
                <c:pt idx="83">
                  <c:v>-80.730000000000189</c:v>
                </c:pt>
                <c:pt idx="84">
                  <c:v>-80.040000000000191</c:v>
                </c:pt>
                <c:pt idx="85">
                  <c:v>-79.350000000000193</c:v>
                </c:pt>
                <c:pt idx="86">
                  <c:v>-78.660000000000196</c:v>
                </c:pt>
                <c:pt idx="87">
                  <c:v>-77.970000000000198</c:v>
                </c:pt>
                <c:pt idx="88">
                  <c:v>-77.2800000000002</c:v>
                </c:pt>
                <c:pt idx="89">
                  <c:v>-76.590000000000202</c:v>
                </c:pt>
                <c:pt idx="90">
                  <c:v>-75.900000000000205</c:v>
                </c:pt>
                <c:pt idx="91">
                  <c:v>-75.210000000000207</c:v>
                </c:pt>
                <c:pt idx="92">
                  <c:v>-74.520000000000209</c:v>
                </c:pt>
                <c:pt idx="93">
                  <c:v>-73.830000000000211</c:v>
                </c:pt>
                <c:pt idx="94">
                  <c:v>-73.140000000000214</c:v>
                </c:pt>
                <c:pt idx="95">
                  <c:v>-72.450000000000216</c:v>
                </c:pt>
                <c:pt idx="96">
                  <c:v>-71.760000000000218</c:v>
                </c:pt>
                <c:pt idx="97">
                  <c:v>-71.070000000000221</c:v>
                </c:pt>
                <c:pt idx="98">
                  <c:v>-70.380000000000223</c:v>
                </c:pt>
                <c:pt idx="99">
                  <c:v>-69.690000000000225</c:v>
                </c:pt>
                <c:pt idx="100">
                  <c:v>-69.000000000000227</c:v>
                </c:pt>
                <c:pt idx="101">
                  <c:v>-68.31000000000023</c:v>
                </c:pt>
                <c:pt idx="102">
                  <c:v>-67.620000000000232</c:v>
                </c:pt>
                <c:pt idx="103">
                  <c:v>-66.930000000000234</c:v>
                </c:pt>
                <c:pt idx="104">
                  <c:v>-66.240000000000236</c:v>
                </c:pt>
                <c:pt idx="105">
                  <c:v>-65.550000000000239</c:v>
                </c:pt>
                <c:pt idx="106">
                  <c:v>-64.860000000000241</c:v>
                </c:pt>
                <c:pt idx="107">
                  <c:v>-64.170000000000243</c:v>
                </c:pt>
                <c:pt idx="108">
                  <c:v>-63.480000000000246</c:v>
                </c:pt>
                <c:pt idx="109">
                  <c:v>-62.790000000000248</c:v>
                </c:pt>
                <c:pt idx="110">
                  <c:v>-62.10000000000025</c:v>
                </c:pt>
                <c:pt idx="111">
                  <c:v>-61.410000000000252</c:v>
                </c:pt>
                <c:pt idx="112">
                  <c:v>-60.720000000000255</c:v>
                </c:pt>
                <c:pt idx="113">
                  <c:v>-60.030000000000257</c:v>
                </c:pt>
                <c:pt idx="114">
                  <c:v>-59.340000000000259</c:v>
                </c:pt>
                <c:pt idx="115">
                  <c:v>-58.650000000000261</c:v>
                </c:pt>
                <c:pt idx="116">
                  <c:v>-57.960000000000264</c:v>
                </c:pt>
                <c:pt idx="117">
                  <c:v>-57.270000000000266</c:v>
                </c:pt>
                <c:pt idx="118">
                  <c:v>-56.580000000000268</c:v>
                </c:pt>
                <c:pt idx="119">
                  <c:v>-55.890000000000271</c:v>
                </c:pt>
                <c:pt idx="120">
                  <c:v>-55.200000000000273</c:v>
                </c:pt>
                <c:pt idx="121">
                  <c:v>-54.510000000000275</c:v>
                </c:pt>
                <c:pt idx="122">
                  <c:v>-53.820000000000277</c:v>
                </c:pt>
                <c:pt idx="123">
                  <c:v>-53.13000000000028</c:v>
                </c:pt>
                <c:pt idx="124">
                  <c:v>-52.440000000000282</c:v>
                </c:pt>
                <c:pt idx="125">
                  <c:v>-51.750000000000284</c:v>
                </c:pt>
                <c:pt idx="126">
                  <c:v>-51.060000000000286</c:v>
                </c:pt>
                <c:pt idx="127">
                  <c:v>-50.370000000000289</c:v>
                </c:pt>
                <c:pt idx="128">
                  <c:v>-49.680000000000291</c:v>
                </c:pt>
                <c:pt idx="129">
                  <c:v>-48.990000000000293</c:v>
                </c:pt>
                <c:pt idx="130">
                  <c:v>-48.300000000000296</c:v>
                </c:pt>
                <c:pt idx="131">
                  <c:v>-47.610000000000298</c:v>
                </c:pt>
                <c:pt idx="132">
                  <c:v>-46.9200000000003</c:v>
                </c:pt>
                <c:pt idx="133">
                  <c:v>-46.230000000000302</c:v>
                </c:pt>
                <c:pt idx="134">
                  <c:v>-45.540000000000305</c:v>
                </c:pt>
                <c:pt idx="135">
                  <c:v>-44.850000000000307</c:v>
                </c:pt>
                <c:pt idx="136">
                  <c:v>-44.160000000000309</c:v>
                </c:pt>
                <c:pt idx="137">
                  <c:v>-43.470000000000312</c:v>
                </c:pt>
                <c:pt idx="138">
                  <c:v>-42.780000000000314</c:v>
                </c:pt>
                <c:pt idx="139">
                  <c:v>-42.090000000000316</c:v>
                </c:pt>
                <c:pt idx="140">
                  <c:v>-41.400000000000318</c:v>
                </c:pt>
                <c:pt idx="141">
                  <c:v>-40.710000000000321</c:v>
                </c:pt>
                <c:pt idx="142">
                  <c:v>-40.020000000000323</c:v>
                </c:pt>
                <c:pt idx="143">
                  <c:v>-39.330000000000325</c:v>
                </c:pt>
                <c:pt idx="144">
                  <c:v>-38.640000000000327</c:v>
                </c:pt>
                <c:pt idx="145">
                  <c:v>-37.95000000000033</c:v>
                </c:pt>
                <c:pt idx="146">
                  <c:v>-37.260000000000332</c:v>
                </c:pt>
                <c:pt idx="147">
                  <c:v>-36.570000000000334</c:v>
                </c:pt>
                <c:pt idx="148">
                  <c:v>-35.880000000000337</c:v>
                </c:pt>
                <c:pt idx="149">
                  <c:v>-35.190000000000339</c:v>
                </c:pt>
                <c:pt idx="150">
                  <c:v>-34.500000000000341</c:v>
                </c:pt>
                <c:pt idx="151">
                  <c:v>-33.810000000000343</c:v>
                </c:pt>
                <c:pt idx="152">
                  <c:v>-33.120000000000346</c:v>
                </c:pt>
                <c:pt idx="153">
                  <c:v>-32.430000000000348</c:v>
                </c:pt>
                <c:pt idx="154">
                  <c:v>-31.740000000000347</c:v>
                </c:pt>
                <c:pt idx="155">
                  <c:v>-31.050000000000345</c:v>
                </c:pt>
                <c:pt idx="156">
                  <c:v>-30.360000000000344</c:v>
                </c:pt>
                <c:pt idx="157">
                  <c:v>-29.670000000000343</c:v>
                </c:pt>
                <c:pt idx="158">
                  <c:v>-28.980000000000341</c:v>
                </c:pt>
                <c:pt idx="159">
                  <c:v>-28.29000000000034</c:v>
                </c:pt>
                <c:pt idx="160">
                  <c:v>-27.600000000000339</c:v>
                </c:pt>
                <c:pt idx="161">
                  <c:v>-26.910000000000338</c:v>
                </c:pt>
                <c:pt idx="162">
                  <c:v>-26.220000000000336</c:v>
                </c:pt>
                <c:pt idx="163">
                  <c:v>-25.530000000000335</c:v>
                </c:pt>
                <c:pt idx="164">
                  <c:v>-24.840000000000334</c:v>
                </c:pt>
                <c:pt idx="165">
                  <c:v>-24.150000000000333</c:v>
                </c:pt>
                <c:pt idx="166">
                  <c:v>-23.460000000000331</c:v>
                </c:pt>
                <c:pt idx="167">
                  <c:v>-22.77000000000033</c:v>
                </c:pt>
                <c:pt idx="168">
                  <c:v>-22.080000000000329</c:v>
                </c:pt>
                <c:pt idx="169">
                  <c:v>-21.390000000000327</c:v>
                </c:pt>
                <c:pt idx="170">
                  <c:v>-20.700000000000326</c:v>
                </c:pt>
                <c:pt idx="171">
                  <c:v>-20.010000000000325</c:v>
                </c:pt>
                <c:pt idx="172">
                  <c:v>-19.320000000000324</c:v>
                </c:pt>
                <c:pt idx="173">
                  <c:v>-18.630000000000322</c:v>
                </c:pt>
                <c:pt idx="174">
                  <c:v>-17.940000000000321</c:v>
                </c:pt>
                <c:pt idx="175">
                  <c:v>-17.25000000000032</c:v>
                </c:pt>
                <c:pt idx="176">
                  <c:v>-16.560000000000318</c:v>
                </c:pt>
                <c:pt idx="177">
                  <c:v>-15.870000000000319</c:v>
                </c:pt>
                <c:pt idx="178">
                  <c:v>-15.180000000000319</c:v>
                </c:pt>
                <c:pt idx="179">
                  <c:v>-14.49000000000032</c:v>
                </c:pt>
                <c:pt idx="180">
                  <c:v>-13.80000000000032</c:v>
                </c:pt>
                <c:pt idx="181">
                  <c:v>-13.110000000000321</c:v>
                </c:pt>
                <c:pt idx="182">
                  <c:v>-12.420000000000321</c:v>
                </c:pt>
                <c:pt idx="183">
                  <c:v>-11.730000000000322</c:v>
                </c:pt>
                <c:pt idx="184">
                  <c:v>-11.040000000000322</c:v>
                </c:pt>
                <c:pt idx="185">
                  <c:v>-10.350000000000323</c:v>
                </c:pt>
                <c:pt idx="186">
                  <c:v>-9.6600000000003234</c:v>
                </c:pt>
                <c:pt idx="187">
                  <c:v>-8.9700000000003239</c:v>
                </c:pt>
                <c:pt idx="188">
                  <c:v>-8.2800000000003244</c:v>
                </c:pt>
                <c:pt idx="189">
                  <c:v>-7.5900000000003249</c:v>
                </c:pt>
                <c:pt idx="190">
                  <c:v>-6.9000000000003254</c:v>
                </c:pt>
                <c:pt idx="191">
                  <c:v>-6.2100000000003259</c:v>
                </c:pt>
                <c:pt idx="192">
                  <c:v>-5.5200000000003264</c:v>
                </c:pt>
                <c:pt idx="193">
                  <c:v>-4.8300000000003269</c:v>
                </c:pt>
                <c:pt idx="194">
                  <c:v>-4.1400000000003274</c:v>
                </c:pt>
                <c:pt idx="195">
                  <c:v>-3.4500000000003275</c:v>
                </c:pt>
                <c:pt idx="196">
                  <c:v>-2.7600000000003275</c:v>
                </c:pt>
                <c:pt idx="197">
                  <c:v>-2.0700000000003276</c:v>
                </c:pt>
                <c:pt idx="198">
                  <c:v>-1.3800000000003276</c:v>
                </c:pt>
                <c:pt idx="199">
                  <c:v>-0.69000000000032768</c:v>
                </c:pt>
                <c:pt idx="200">
                  <c:v>-3.2773783686934621E-13</c:v>
                </c:pt>
                <c:pt idx="201">
                  <c:v>0.68999999999967221</c:v>
                </c:pt>
                <c:pt idx="202">
                  <c:v>1.3799999999996722</c:v>
                </c:pt>
                <c:pt idx="203">
                  <c:v>2.0699999999996721</c:v>
                </c:pt>
                <c:pt idx="204">
                  <c:v>2.759999999999672</c:v>
                </c:pt>
                <c:pt idx="205">
                  <c:v>3.449999999999672</c:v>
                </c:pt>
                <c:pt idx="206">
                  <c:v>4.1399999999996719</c:v>
                </c:pt>
                <c:pt idx="207">
                  <c:v>4.8299999999996714</c:v>
                </c:pt>
                <c:pt idx="208">
                  <c:v>5.5199999999996709</c:v>
                </c:pt>
                <c:pt idx="209">
                  <c:v>6.2099999999996705</c:v>
                </c:pt>
                <c:pt idx="210">
                  <c:v>6.89999999999967</c:v>
                </c:pt>
                <c:pt idx="211">
                  <c:v>7.5899999999996695</c:v>
                </c:pt>
                <c:pt idx="212">
                  <c:v>8.279999999999669</c:v>
                </c:pt>
                <c:pt idx="213">
                  <c:v>8.9699999999996685</c:v>
                </c:pt>
                <c:pt idx="214">
                  <c:v>9.659999999999668</c:v>
                </c:pt>
                <c:pt idx="215">
                  <c:v>10.349999999999667</c:v>
                </c:pt>
                <c:pt idx="216">
                  <c:v>11.039999999999667</c:v>
                </c:pt>
                <c:pt idx="217">
                  <c:v>11.729999999999666</c:v>
                </c:pt>
                <c:pt idx="218">
                  <c:v>12.419999999999666</c:v>
                </c:pt>
                <c:pt idx="219">
                  <c:v>13.109999999999665</c:v>
                </c:pt>
                <c:pt idx="220">
                  <c:v>13.799999999999665</c:v>
                </c:pt>
                <c:pt idx="221">
                  <c:v>14.489999999999664</c:v>
                </c:pt>
                <c:pt idx="222">
                  <c:v>15.179999999999664</c:v>
                </c:pt>
                <c:pt idx="223">
                  <c:v>15.869999999999663</c:v>
                </c:pt>
                <c:pt idx="224">
                  <c:v>16.559999999999665</c:v>
                </c:pt>
                <c:pt idx="225">
                  <c:v>17.249999999999666</c:v>
                </c:pt>
                <c:pt idx="226">
                  <c:v>17.939999999999667</c:v>
                </c:pt>
                <c:pt idx="227">
                  <c:v>18.629999999999669</c:v>
                </c:pt>
                <c:pt idx="228">
                  <c:v>19.31999999999967</c:v>
                </c:pt>
                <c:pt idx="229">
                  <c:v>20.009999999999671</c:v>
                </c:pt>
                <c:pt idx="230">
                  <c:v>20.699999999999672</c:v>
                </c:pt>
                <c:pt idx="231">
                  <c:v>21.389999999999674</c:v>
                </c:pt>
                <c:pt idx="232">
                  <c:v>22.079999999999675</c:v>
                </c:pt>
                <c:pt idx="233">
                  <c:v>22.769999999999676</c:v>
                </c:pt>
                <c:pt idx="234">
                  <c:v>23.459999999999678</c:v>
                </c:pt>
                <c:pt idx="235">
                  <c:v>24.149999999999679</c:v>
                </c:pt>
                <c:pt idx="236">
                  <c:v>24.83999999999968</c:v>
                </c:pt>
                <c:pt idx="237">
                  <c:v>25.529999999999681</c:v>
                </c:pt>
                <c:pt idx="238">
                  <c:v>26.219999999999683</c:v>
                </c:pt>
                <c:pt idx="239">
                  <c:v>26.909999999999684</c:v>
                </c:pt>
                <c:pt idx="240">
                  <c:v>27.599999999999685</c:v>
                </c:pt>
                <c:pt idx="241">
                  <c:v>28.289999999999687</c:v>
                </c:pt>
                <c:pt idx="242">
                  <c:v>28.979999999999688</c:v>
                </c:pt>
                <c:pt idx="243">
                  <c:v>29.669999999999689</c:v>
                </c:pt>
                <c:pt idx="244">
                  <c:v>30.35999999999969</c:v>
                </c:pt>
                <c:pt idx="245">
                  <c:v>31.049999999999692</c:v>
                </c:pt>
                <c:pt idx="246">
                  <c:v>31.739999999999693</c:v>
                </c:pt>
                <c:pt idx="247">
                  <c:v>32.429999999999694</c:v>
                </c:pt>
                <c:pt idx="248">
                  <c:v>33.119999999999692</c:v>
                </c:pt>
                <c:pt idx="249">
                  <c:v>33.80999999999969</c:v>
                </c:pt>
                <c:pt idx="250">
                  <c:v>34.499999999999687</c:v>
                </c:pt>
                <c:pt idx="251">
                  <c:v>35.189999999999685</c:v>
                </c:pt>
                <c:pt idx="252">
                  <c:v>35.879999999999683</c:v>
                </c:pt>
                <c:pt idx="253">
                  <c:v>36.569999999999681</c:v>
                </c:pt>
                <c:pt idx="254">
                  <c:v>37.259999999999678</c:v>
                </c:pt>
                <c:pt idx="255">
                  <c:v>37.949999999999676</c:v>
                </c:pt>
                <c:pt idx="256">
                  <c:v>38.639999999999674</c:v>
                </c:pt>
                <c:pt idx="257">
                  <c:v>39.329999999999671</c:v>
                </c:pt>
                <c:pt idx="258">
                  <c:v>40.019999999999669</c:v>
                </c:pt>
                <c:pt idx="259">
                  <c:v>40.709999999999667</c:v>
                </c:pt>
                <c:pt idx="260">
                  <c:v>41.399999999999665</c:v>
                </c:pt>
                <c:pt idx="261">
                  <c:v>42.089999999999662</c:v>
                </c:pt>
                <c:pt idx="262">
                  <c:v>42.77999999999966</c:v>
                </c:pt>
                <c:pt idx="263">
                  <c:v>43.469999999999658</c:v>
                </c:pt>
                <c:pt idx="264">
                  <c:v>44.159999999999656</c:v>
                </c:pt>
                <c:pt idx="265">
                  <c:v>44.849999999999653</c:v>
                </c:pt>
                <c:pt idx="266">
                  <c:v>45.539999999999651</c:v>
                </c:pt>
                <c:pt idx="267">
                  <c:v>46.229999999999649</c:v>
                </c:pt>
                <c:pt idx="268">
                  <c:v>46.919999999999646</c:v>
                </c:pt>
                <c:pt idx="269">
                  <c:v>47.609999999999644</c:v>
                </c:pt>
                <c:pt idx="270">
                  <c:v>48.299999999999642</c:v>
                </c:pt>
                <c:pt idx="271">
                  <c:v>48.98999999999964</c:v>
                </c:pt>
                <c:pt idx="272">
                  <c:v>49.679999999999637</c:v>
                </c:pt>
                <c:pt idx="273">
                  <c:v>50.369999999999635</c:v>
                </c:pt>
                <c:pt idx="274">
                  <c:v>51.059999999999633</c:v>
                </c:pt>
                <c:pt idx="275">
                  <c:v>51.749999999999631</c:v>
                </c:pt>
                <c:pt idx="276">
                  <c:v>52.439999999999628</c:v>
                </c:pt>
                <c:pt idx="277">
                  <c:v>53.129999999999626</c:v>
                </c:pt>
                <c:pt idx="278">
                  <c:v>53.819999999999624</c:v>
                </c:pt>
                <c:pt idx="279">
                  <c:v>54.509999999999621</c:v>
                </c:pt>
                <c:pt idx="280">
                  <c:v>55.199999999999619</c:v>
                </c:pt>
                <c:pt idx="281">
                  <c:v>55.889999999999617</c:v>
                </c:pt>
                <c:pt idx="282">
                  <c:v>56.579999999999615</c:v>
                </c:pt>
                <c:pt idx="283">
                  <c:v>57.269999999999612</c:v>
                </c:pt>
                <c:pt idx="284">
                  <c:v>57.95999999999961</c:v>
                </c:pt>
                <c:pt idx="285">
                  <c:v>58.649999999999608</c:v>
                </c:pt>
                <c:pt idx="286">
                  <c:v>59.339999999999606</c:v>
                </c:pt>
                <c:pt idx="287">
                  <c:v>60.029999999999603</c:v>
                </c:pt>
                <c:pt idx="288">
                  <c:v>60.719999999999601</c:v>
                </c:pt>
                <c:pt idx="289">
                  <c:v>61.409999999999599</c:v>
                </c:pt>
                <c:pt idx="290">
                  <c:v>62.099999999999596</c:v>
                </c:pt>
                <c:pt idx="291">
                  <c:v>62.789999999999594</c:v>
                </c:pt>
                <c:pt idx="292">
                  <c:v>63.479999999999592</c:v>
                </c:pt>
                <c:pt idx="293">
                  <c:v>64.16999999999959</c:v>
                </c:pt>
                <c:pt idx="294">
                  <c:v>64.859999999999587</c:v>
                </c:pt>
                <c:pt idx="295">
                  <c:v>65.549999999999585</c:v>
                </c:pt>
                <c:pt idx="296">
                  <c:v>66.239999999999583</c:v>
                </c:pt>
                <c:pt idx="297">
                  <c:v>66.92999999999958</c:v>
                </c:pt>
                <c:pt idx="298">
                  <c:v>67.619999999999578</c:v>
                </c:pt>
                <c:pt idx="299">
                  <c:v>68.309999999999576</c:v>
                </c:pt>
                <c:pt idx="300">
                  <c:v>68.999999999999574</c:v>
                </c:pt>
                <c:pt idx="301">
                  <c:v>69.689999999999571</c:v>
                </c:pt>
                <c:pt idx="302">
                  <c:v>70.379999999999569</c:v>
                </c:pt>
                <c:pt idx="303">
                  <c:v>71.069999999999567</c:v>
                </c:pt>
                <c:pt idx="304">
                  <c:v>71.759999999999565</c:v>
                </c:pt>
                <c:pt idx="305">
                  <c:v>72.449999999999562</c:v>
                </c:pt>
                <c:pt idx="306">
                  <c:v>73.13999999999956</c:v>
                </c:pt>
                <c:pt idx="307">
                  <c:v>73.829999999999558</c:v>
                </c:pt>
                <c:pt idx="308">
                  <c:v>74.519999999999555</c:v>
                </c:pt>
                <c:pt idx="309">
                  <c:v>75.209999999999553</c:v>
                </c:pt>
                <c:pt idx="310">
                  <c:v>75.899999999999551</c:v>
                </c:pt>
                <c:pt idx="311">
                  <c:v>76.589999999999549</c:v>
                </c:pt>
                <c:pt idx="312">
                  <c:v>77.279999999999546</c:v>
                </c:pt>
                <c:pt idx="313">
                  <c:v>77.969999999999544</c:v>
                </c:pt>
                <c:pt idx="314">
                  <c:v>78.659999999999542</c:v>
                </c:pt>
                <c:pt idx="315">
                  <c:v>79.34999999999954</c:v>
                </c:pt>
                <c:pt idx="316">
                  <c:v>80.039999999999537</c:v>
                </c:pt>
                <c:pt idx="317">
                  <c:v>80.729999999999535</c:v>
                </c:pt>
                <c:pt idx="318">
                  <c:v>81.419999999999533</c:v>
                </c:pt>
                <c:pt idx="319">
                  <c:v>82.10999999999953</c:v>
                </c:pt>
                <c:pt idx="320">
                  <c:v>82.799999999999528</c:v>
                </c:pt>
                <c:pt idx="321">
                  <c:v>83.489999999999526</c:v>
                </c:pt>
                <c:pt idx="322">
                  <c:v>84.179999999999524</c:v>
                </c:pt>
                <c:pt idx="323">
                  <c:v>84.869999999999521</c:v>
                </c:pt>
                <c:pt idx="324">
                  <c:v>85.559999999999519</c:v>
                </c:pt>
                <c:pt idx="325">
                  <c:v>86.249999999999517</c:v>
                </c:pt>
                <c:pt idx="326">
                  <c:v>86.939999999999515</c:v>
                </c:pt>
                <c:pt idx="327">
                  <c:v>87.629999999999512</c:v>
                </c:pt>
                <c:pt idx="328">
                  <c:v>88.31999999999951</c:v>
                </c:pt>
                <c:pt idx="329">
                  <c:v>89.009999999999508</c:v>
                </c:pt>
                <c:pt idx="330">
                  <c:v>89.699999999999505</c:v>
                </c:pt>
                <c:pt idx="331">
                  <c:v>90.389999999999503</c:v>
                </c:pt>
                <c:pt idx="332">
                  <c:v>91.079999999999501</c:v>
                </c:pt>
                <c:pt idx="333">
                  <c:v>91.769999999999499</c:v>
                </c:pt>
                <c:pt idx="334">
                  <c:v>92.459999999999496</c:v>
                </c:pt>
                <c:pt idx="335">
                  <c:v>93.149999999999494</c:v>
                </c:pt>
                <c:pt idx="336">
                  <c:v>93.839999999999492</c:v>
                </c:pt>
                <c:pt idx="337">
                  <c:v>94.52999999999949</c:v>
                </c:pt>
                <c:pt idx="338">
                  <c:v>95.219999999999487</c:v>
                </c:pt>
                <c:pt idx="339">
                  <c:v>95.909999999999485</c:v>
                </c:pt>
                <c:pt idx="340">
                  <c:v>96.599999999999483</c:v>
                </c:pt>
                <c:pt idx="341">
                  <c:v>97.28999999999948</c:v>
                </c:pt>
                <c:pt idx="342">
                  <c:v>97.979999999999478</c:v>
                </c:pt>
                <c:pt idx="343">
                  <c:v>98.669999999999476</c:v>
                </c:pt>
                <c:pt idx="344">
                  <c:v>99.359999999999474</c:v>
                </c:pt>
                <c:pt idx="345">
                  <c:v>100.04999999999947</c:v>
                </c:pt>
                <c:pt idx="346">
                  <c:v>100.73999999999947</c:v>
                </c:pt>
                <c:pt idx="347">
                  <c:v>101.42999999999947</c:v>
                </c:pt>
                <c:pt idx="348">
                  <c:v>102.11999999999946</c:v>
                </c:pt>
                <c:pt idx="349">
                  <c:v>102.80999999999946</c:v>
                </c:pt>
                <c:pt idx="350">
                  <c:v>103.49999999999946</c:v>
                </c:pt>
                <c:pt idx="351">
                  <c:v>104.18999999999946</c:v>
                </c:pt>
                <c:pt idx="352">
                  <c:v>104.87999999999946</c:v>
                </c:pt>
                <c:pt idx="353">
                  <c:v>105.56999999999945</c:v>
                </c:pt>
                <c:pt idx="354">
                  <c:v>106.25999999999945</c:v>
                </c:pt>
                <c:pt idx="355">
                  <c:v>106.94999999999945</c:v>
                </c:pt>
                <c:pt idx="356">
                  <c:v>107.63999999999945</c:v>
                </c:pt>
                <c:pt idx="357">
                  <c:v>108.32999999999944</c:v>
                </c:pt>
                <c:pt idx="358">
                  <c:v>109.01999999999944</c:v>
                </c:pt>
                <c:pt idx="359">
                  <c:v>109.70999999999944</c:v>
                </c:pt>
                <c:pt idx="360">
                  <c:v>110.39999999999944</c:v>
                </c:pt>
                <c:pt idx="361">
                  <c:v>111.08999999999943</c:v>
                </c:pt>
                <c:pt idx="362">
                  <c:v>111.77999999999943</c:v>
                </c:pt>
                <c:pt idx="363">
                  <c:v>112.46999999999943</c:v>
                </c:pt>
                <c:pt idx="364">
                  <c:v>113.15999999999943</c:v>
                </c:pt>
                <c:pt idx="365">
                  <c:v>113.84999999999943</c:v>
                </c:pt>
                <c:pt idx="366">
                  <c:v>114.53999999999942</c:v>
                </c:pt>
                <c:pt idx="367">
                  <c:v>115.22999999999942</c:v>
                </c:pt>
                <c:pt idx="368">
                  <c:v>115.91999999999942</c:v>
                </c:pt>
                <c:pt idx="369">
                  <c:v>116.60999999999942</c:v>
                </c:pt>
                <c:pt idx="370">
                  <c:v>117.29999999999941</c:v>
                </c:pt>
                <c:pt idx="371">
                  <c:v>117.98999999999941</c:v>
                </c:pt>
                <c:pt idx="372">
                  <c:v>118.67999999999941</c:v>
                </c:pt>
                <c:pt idx="373">
                  <c:v>119.36999999999941</c:v>
                </c:pt>
                <c:pt idx="374">
                  <c:v>120.05999999999941</c:v>
                </c:pt>
                <c:pt idx="375">
                  <c:v>120.7499999999994</c:v>
                </c:pt>
                <c:pt idx="376">
                  <c:v>121.4399999999994</c:v>
                </c:pt>
                <c:pt idx="377">
                  <c:v>122.1299999999994</c:v>
                </c:pt>
                <c:pt idx="378">
                  <c:v>122.8199999999994</c:v>
                </c:pt>
                <c:pt idx="379">
                  <c:v>123.50999999999939</c:v>
                </c:pt>
                <c:pt idx="380">
                  <c:v>124.19999999999939</c:v>
                </c:pt>
                <c:pt idx="381">
                  <c:v>124.88999999999939</c:v>
                </c:pt>
                <c:pt idx="382">
                  <c:v>125.57999999999939</c:v>
                </c:pt>
                <c:pt idx="383">
                  <c:v>126.26999999999938</c:v>
                </c:pt>
                <c:pt idx="384">
                  <c:v>126.95999999999938</c:v>
                </c:pt>
                <c:pt idx="385">
                  <c:v>127.64999999999938</c:v>
                </c:pt>
                <c:pt idx="386">
                  <c:v>128.33999999999938</c:v>
                </c:pt>
                <c:pt idx="387">
                  <c:v>129.02999999999938</c:v>
                </c:pt>
                <c:pt idx="388">
                  <c:v>129.71999999999937</c:v>
                </c:pt>
                <c:pt idx="389">
                  <c:v>130.40999999999937</c:v>
                </c:pt>
                <c:pt idx="390">
                  <c:v>131.09999999999937</c:v>
                </c:pt>
                <c:pt idx="391">
                  <c:v>131.78999999999937</c:v>
                </c:pt>
                <c:pt idx="392">
                  <c:v>132.47999999999936</c:v>
                </c:pt>
                <c:pt idx="393">
                  <c:v>133.16999999999936</c:v>
                </c:pt>
                <c:pt idx="394">
                  <c:v>133.85999999999936</c:v>
                </c:pt>
                <c:pt idx="395">
                  <c:v>134.54999999999936</c:v>
                </c:pt>
                <c:pt idx="396">
                  <c:v>135.23999999999936</c:v>
                </c:pt>
                <c:pt idx="397">
                  <c:v>135.92999999999935</c:v>
                </c:pt>
                <c:pt idx="398">
                  <c:v>136.61999999999935</c:v>
                </c:pt>
                <c:pt idx="399">
                  <c:v>137.30999999999935</c:v>
                </c:pt>
                <c:pt idx="400">
                  <c:v>137.99999999999935</c:v>
                </c:pt>
              </c:numCache>
            </c:numRef>
          </c:xVal>
          <c:yVal>
            <c:numRef>
              <c:f>CALCULATIONS!$Q$30:$Q$430</c:f>
              <c:numCache>
                <c:formatCode>General</c:formatCode>
                <c:ptCount val="401"/>
                <c:pt idx="0">
                  <c:v>-1.7763568394002505E-9</c:v>
                </c:pt>
                <c:pt idx="1">
                  <c:v>-1.1348382927517386E-2</c:v>
                </c:pt>
                <c:pt idx="2">
                  <c:v>-2.1807257228279031E-2</c:v>
                </c:pt>
                <c:pt idx="3">
                  <c:v>-3.1407426020479967E-2</c:v>
                </c:pt>
                <c:pt idx="4">
                  <c:v>-4.0179047995914097E-2</c:v>
                </c:pt>
                <c:pt idx="5">
                  <c:v>-4.8151648038174955E-2</c:v>
                </c:pt>
                <c:pt idx="6">
                  <c:v>-5.5354126289985928E-2</c:v>
                </c:pt>
                <c:pt idx="7">
                  <c:v>-6.1814765713430475E-2</c:v>
                </c:pt>
                <c:pt idx="8">
                  <c:v>-6.7561241692049023E-2</c:v>
                </c:pt>
                <c:pt idx="9">
                  <c:v>-7.2620639045339885E-2</c:v>
                </c:pt>
                <c:pt idx="10">
                  <c:v>-7.7019442611181432E-2</c:v>
                </c:pt>
                <c:pt idx="11">
                  <c:v>-8.07835724305761E-2</c:v>
                </c:pt>
                <c:pt idx="12">
                  <c:v>-8.3938357202217873E-2</c:v>
                </c:pt>
                <c:pt idx="13">
                  <c:v>-8.6508582370026232E-2</c:v>
                </c:pt>
                <c:pt idx="14">
                  <c:v>-8.8518469330001182E-2</c:v>
                </c:pt>
                <c:pt idx="15">
                  <c:v>-8.9991697540536819E-2</c:v>
                </c:pt>
                <c:pt idx="16">
                  <c:v>-9.0951408969974779E-2</c:v>
                </c:pt>
                <c:pt idx="17">
                  <c:v>-9.1420214704207581E-2</c:v>
                </c:pt>
                <c:pt idx="18">
                  <c:v>-9.1420203556680235E-2</c:v>
                </c:pt>
                <c:pt idx="19">
                  <c:v>-9.0972956123813731E-2</c:v>
                </c:pt>
                <c:pt idx="20">
                  <c:v>-9.0099543319510644E-2</c:v>
                </c:pt>
                <c:pt idx="21">
                  <c:v>-8.8820539139611299E-2</c:v>
                </c:pt>
                <c:pt idx="22">
                  <c:v>-8.7156035576185786E-2</c:v>
                </c:pt>
                <c:pt idx="23">
                  <c:v>-8.5125623961346264E-2</c:v>
                </c:pt>
                <c:pt idx="24">
                  <c:v>-8.274843697453349E-2</c:v>
                </c:pt>
                <c:pt idx="25">
                  <c:v>-8.0043142880015239E-2</c:v>
                </c:pt>
                <c:pt idx="26">
                  <c:v>-7.7027934717754931E-2</c:v>
                </c:pt>
                <c:pt idx="27">
                  <c:v>-7.3720564097712327E-2</c:v>
                </c:pt>
                <c:pt idx="28">
                  <c:v>-7.0138327255442334E-2</c:v>
                </c:pt>
                <c:pt idx="29">
                  <c:v>-6.6298094003158781E-2</c:v>
                </c:pt>
                <c:pt idx="30">
                  <c:v>-6.2216290696248677E-2</c:v>
                </c:pt>
                <c:pt idx="31">
                  <c:v>-5.7908927825423007E-2</c:v>
                </c:pt>
                <c:pt idx="32">
                  <c:v>-5.3391583453965552E-2</c:v>
                </c:pt>
                <c:pt idx="33">
                  <c:v>-4.8679448997113184E-2</c:v>
                </c:pt>
                <c:pt idx="34">
                  <c:v>-4.3787284711882535E-2</c:v>
                </c:pt>
                <c:pt idx="35">
                  <c:v>-3.8729464102438271E-2</c:v>
                </c:pt>
                <c:pt idx="36">
                  <c:v>-3.3519976032181376E-2</c:v>
                </c:pt>
                <c:pt idx="37">
                  <c:v>-2.8172400305059853E-2</c:v>
                </c:pt>
                <c:pt idx="38">
                  <c:v>-2.2699965262162891E-2</c:v>
                </c:pt>
                <c:pt idx="39">
                  <c:v>-1.7115507815468334E-2</c:v>
                </c:pt>
                <c:pt idx="40">
                  <c:v>-1.1431497668468182E-2</c:v>
                </c:pt>
                <c:pt idx="41">
                  <c:v>-5.6600546693985621E-3</c:v>
                </c:pt>
                <c:pt idx="42">
                  <c:v>1.8706565629855731E-4</c:v>
                </c:pt>
                <c:pt idx="43">
                  <c:v>6.0984578844625048E-3</c:v>
                </c:pt>
                <c:pt idx="44">
                  <c:v>1.2063050562005628E-2</c:v>
                </c:pt>
                <c:pt idx="45">
                  <c:v>1.8070128865232959E-2</c:v>
                </c:pt>
                <c:pt idx="46">
                  <c:v>2.4109287867446483E-2</c:v>
                </c:pt>
                <c:pt idx="47">
                  <c:v>3.0170461924328151E-2</c:v>
                </c:pt>
                <c:pt idx="48">
                  <c:v>3.6243909475430769E-2</c:v>
                </c:pt>
                <c:pt idx="49">
                  <c:v>4.2320195865030996E-2</c:v>
                </c:pt>
                <c:pt idx="50">
                  <c:v>4.8390200856118781E-2</c:v>
                </c:pt>
                <c:pt idx="51">
                  <c:v>5.444510814278658E-2</c:v>
                </c:pt>
                <c:pt idx="52">
                  <c:v>6.0476407155007905E-2</c:v>
                </c:pt>
                <c:pt idx="53">
                  <c:v>6.6475871518534291E-2</c:v>
                </c:pt>
                <c:pt idx="54">
                  <c:v>7.2435576470297747E-2</c:v>
                </c:pt>
                <c:pt idx="55">
                  <c:v>7.834786805815952E-2</c:v>
                </c:pt>
                <c:pt idx="56">
                  <c:v>8.4205383707569581E-2</c:v>
                </c:pt>
                <c:pt idx="57">
                  <c:v>9.0001031738395909E-2</c:v>
                </c:pt>
                <c:pt idx="58">
                  <c:v>9.5727986652249797E-2</c:v>
                </c:pt>
                <c:pt idx="59">
                  <c:v>0.10137969139201175</c:v>
                </c:pt>
                <c:pt idx="60">
                  <c:v>0.10694984336723223</c:v>
                </c:pt>
                <c:pt idx="61">
                  <c:v>0.11243240879110772</c:v>
                </c:pt>
                <c:pt idx="62">
                  <c:v>0.11782158879825033</c:v>
                </c:pt>
                <c:pt idx="63">
                  <c:v>0.12311184584845591</c:v>
                </c:pt>
                <c:pt idx="64">
                  <c:v>0.12829787127621728</c:v>
                </c:pt>
                <c:pt idx="65">
                  <c:v>0.13337460064377638</c:v>
                </c:pt>
                <c:pt idx="66">
                  <c:v>0.13833719519062981</c:v>
                </c:pt>
                <c:pt idx="67">
                  <c:v>0.14318106214616932</c:v>
                </c:pt>
                <c:pt idx="68">
                  <c:v>0.14790181628399068</c:v>
                </c:pt>
                <c:pt idx="69">
                  <c:v>0.15249529100280768</c:v>
                </c:pt>
                <c:pt idx="70">
                  <c:v>0.15695755461031524</c:v>
                </c:pt>
                <c:pt idx="71">
                  <c:v>0.16128485889588262</c:v>
                </c:pt>
                <c:pt idx="72">
                  <c:v>0.16547369768993292</c:v>
                </c:pt>
                <c:pt idx="73">
                  <c:v>0.16952073556453229</c:v>
                </c:pt>
                <c:pt idx="74">
                  <c:v>0.17342285718235928</c:v>
                </c:pt>
                <c:pt idx="75">
                  <c:v>0.1771771365177699</c:v>
                </c:pt>
                <c:pt idx="76">
                  <c:v>0.18078084143624551</c:v>
                </c:pt>
                <c:pt idx="77">
                  <c:v>0.18423142572387974</c:v>
                </c:pt>
                <c:pt idx="78">
                  <c:v>0.1875265262203385</c:v>
                </c:pt>
                <c:pt idx="79">
                  <c:v>0.19066396515832196</c:v>
                </c:pt>
                <c:pt idx="80">
                  <c:v>0.19364173278368924</c:v>
                </c:pt>
                <c:pt idx="81">
                  <c:v>0.19645801424417186</c:v>
                </c:pt>
                <c:pt idx="82">
                  <c:v>0.19911112747372783</c:v>
                </c:pt>
                <c:pt idx="83">
                  <c:v>0.20159958883958495</c:v>
                </c:pt>
                <c:pt idx="84">
                  <c:v>0.20392206672248392</c:v>
                </c:pt>
                <c:pt idx="85">
                  <c:v>0.2060773899792423</c:v>
                </c:pt>
                <c:pt idx="86">
                  <c:v>0.20806453320609819</c:v>
                </c:pt>
                <c:pt idx="87">
                  <c:v>0.20988263199761548</c:v>
                </c:pt>
                <c:pt idx="88">
                  <c:v>0.21153097854842429</c:v>
                </c:pt>
                <c:pt idx="89">
                  <c:v>0.21300899399001594</c:v>
                </c:pt>
                <c:pt idx="90">
                  <c:v>0.21431625743772997</c:v>
                </c:pt>
                <c:pt idx="91">
                  <c:v>0.21545247447285476</c:v>
                </c:pt>
                <c:pt idx="92">
                  <c:v>0.21641749167322644</c:v>
                </c:pt>
                <c:pt idx="93">
                  <c:v>0.2172112878966459</c:v>
                </c:pt>
                <c:pt idx="94">
                  <c:v>0.21783398143782051</c:v>
                </c:pt>
                <c:pt idx="95">
                  <c:v>0.2182858032107049</c:v>
                </c:pt>
                <c:pt idx="96">
                  <c:v>0.21856711429357745</c:v>
                </c:pt>
                <c:pt idx="97">
                  <c:v>0.21867839127942545</c:v>
                </c:pt>
                <c:pt idx="98">
                  <c:v>0.21862023993435287</c:v>
                </c:pt>
                <c:pt idx="99">
                  <c:v>0.2183933678807648</c:v>
                </c:pt>
                <c:pt idx="100">
                  <c:v>0.21799860859239573</c:v>
                </c:pt>
                <c:pt idx="101">
                  <c:v>0.21743689203468364</c:v>
                </c:pt>
                <c:pt idx="102">
                  <c:v>0.2167092612772592</c:v>
                </c:pt>
                <c:pt idx="103">
                  <c:v>0.21581686062077665</c:v>
                </c:pt>
                <c:pt idx="104">
                  <c:v>0.21476093594330337</c:v>
                </c:pt>
                <c:pt idx="105">
                  <c:v>0.21354283319929834</c:v>
                </c:pt>
                <c:pt idx="106">
                  <c:v>0.21216399142609532</c:v>
                </c:pt>
                <c:pt idx="107">
                  <c:v>0.21062594093024245</c:v>
                </c:pt>
                <c:pt idx="108">
                  <c:v>0.20893031202717793</c:v>
                </c:pt>
                <c:pt idx="109">
                  <c:v>0.20707881166615039</c:v>
                </c:pt>
                <c:pt idx="110">
                  <c:v>0.20507323365848151</c:v>
                </c:pt>
                <c:pt idx="111">
                  <c:v>0.20291546346484779</c:v>
                </c:pt>
                <c:pt idx="112">
                  <c:v>0.20060745795547064</c:v>
                </c:pt>
                <c:pt idx="113">
                  <c:v>0.1981512535103036</c:v>
                </c:pt>
                <c:pt idx="114">
                  <c:v>0.19554896328699556</c:v>
                </c:pt>
                <c:pt idx="115">
                  <c:v>0.1928027743716143</c:v>
                </c:pt>
                <c:pt idx="116">
                  <c:v>0.18991494660269836</c:v>
                </c:pt>
                <c:pt idx="117">
                  <c:v>0.18688780236431057</c:v>
                </c:pt>
                <c:pt idx="118">
                  <c:v>0.18372373045849599</c:v>
                </c:pt>
                <c:pt idx="119">
                  <c:v>0.18042518987471112</c:v>
                </c:pt>
                <c:pt idx="120">
                  <c:v>0.17699470277321439</c:v>
                </c:pt>
                <c:pt idx="121">
                  <c:v>0.17343484200083026</c:v>
                </c:pt>
                <c:pt idx="122">
                  <c:v>0.16974824159277091</c:v>
                </c:pt>
                <c:pt idx="123">
                  <c:v>0.16593759648486639</c:v>
                </c:pt>
                <c:pt idx="124">
                  <c:v>0.16200563724311223</c:v>
                </c:pt>
                <c:pt idx="125">
                  <c:v>0.15795517041183871</c:v>
                </c:pt>
                <c:pt idx="126">
                  <c:v>0.15378903165697011</c:v>
                </c:pt>
                <c:pt idx="127">
                  <c:v>0.14951011878139298</c:v>
                </c:pt>
                <c:pt idx="128">
                  <c:v>0.14512135707533957</c:v>
                </c:pt>
                <c:pt idx="129">
                  <c:v>0.14062572855522149</c:v>
                </c:pt>
                <c:pt idx="130">
                  <c:v>0.13602625481468067</c:v>
                </c:pt>
                <c:pt idx="131">
                  <c:v>0.13132599406873169</c:v>
                </c:pt>
                <c:pt idx="132">
                  <c:v>0.12652803446044913</c:v>
                </c:pt>
                <c:pt idx="133">
                  <c:v>0.12163551570054665</c:v>
                </c:pt>
                <c:pt idx="134">
                  <c:v>0.11665160086948845</c:v>
                </c:pt>
                <c:pt idx="135">
                  <c:v>0.11157947827555859</c:v>
                </c:pt>
                <c:pt idx="136">
                  <c:v>0.10642238453684172</c:v>
                </c:pt>
                <c:pt idx="137">
                  <c:v>0.10118356182431398</c:v>
                </c:pt>
                <c:pt idx="138">
                  <c:v>9.5866298494229341E-2</c:v>
                </c:pt>
                <c:pt idx="139">
                  <c:v>9.047389674066153E-2</c:v>
                </c:pt>
                <c:pt idx="140">
                  <c:v>8.5009684600123592E-2</c:v>
                </c:pt>
                <c:pt idx="141">
                  <c:v>7.9477006508454906E-2</c:v>
                </c:pt>
                <c:pt idx="142">
                  <c:v>7.3879238591700869E-2</c:v>
                </c:pt>
                <c:pt idx="143">
                  <c:v>6.8219761285348568E-2</c:v>
                </c:pt>
                <c:pt idx="144">
                  <c:v>6.2501985059526532E-2</c:v>
                </c:pt>
                <c:pt idx="145">
                  <c:v>5.6729317478243502E-2</c:v>
                </c:pt>
                <c:pt idx="146">
                  <c:v>5.0905185190686097E-2</c:v>
                </c:pt>
                <c:pt idx="147">
                  <c:v>4.5033043406306206E-2</c:v>
                </c:pt>
                <c:pt idx="148">
                  <c:v>3.911633726971786E-2</c:v>
                </c:pt>
                <c:pt idx="149">
                  <c:v>3.3158525340581946E-2</c:v>
                </c:pt>
                <c:pt idx="150">
                  <c:v>2.7163074541647347E-2</c:v>
                </c:pt>
                <c:pt idx="151">
                  <c:v>2.1133456758803959E-2</c:v>
                </c:pt>
                <c:pt idx="152">
                  <c:v>1.5073154255418331E-2</c:v>
                </c:pt>
                <c:pt idx="153">
                  <c:v>8.9856400897758704E-3</c:v>
                </c:pt>
                <c:pt idx="154">
                  <c:v>2.8743957578569734E-3</c:v>
                </c:pt>
                <c:pt idx="155">
                  <c:v>-3.2570943844234534E-3</c:v>
                </c:pt>
                <c:pt idx="156">
                  <c:v>-9.4053576198405153E-3</c:v>
                </c:pt>
                <c:pt idx="157">
                  <c:v>-1.556691913862096E-2</c:v>
                </c:pt>
                <c:pt idx="158">
                  <c:v>-2.173830429796908E-2</c:v>
                </c:pt>
                <c:pt idx="159">
                  <c:v>-2.7916048139786653E-2</c:v>
                </c:pt>
                <c:pt idx="160">
                  <c:v>-3.4096694321306131E-2</c:v>
                </c:pt>
                <c:pt idx="161">
                  <c:v>-4.0276790606696977E-2</c:v>
                </c:pt>
                <c:pt idx="162">
                  <c:v>-4.6452898651239138E-2</c:v>
                </c:pt>
                <c:pt idx="163">
                  <c:v>-5.2621587890655519E-2</c:v>
                </c:pt>
                <c:pt idx="164">
                  <c:v>-5.8779441975076452E-2</c:v>
                </c:pt>
                <c:pt idx="165">
                  <c:v>-6.4923051052545588E-2</c:v>
                </c:pt>
                <c:pt idx="166">
                  <c:v>-7.1049030839986926E-2</c:v>
                </c:pt>
                <c:pt idx="167">
                  <c:v>-7.7154009758828579E-2</c:v>
                </c:pt>
                <c:pt idx="168">
                  <c:v>-8.3234623311057021E-2</c:v>
                </c:pt>
                <c:pt idx="169">
                  <c:v>-8.928753159764824E-2</c:v>
                </c:pt>
                <c:pt idx="170">
                  <c:v>-9.530941920843361E-2</c:v>
                </c:pt>
                <c:pt idx="171">
                  <c:v>-0.10129698627991957</c:v>
                </c:pt>
                <c:pt idx="172">
                  <c:v>-0.10724695210839741</c:v>
                </c:pt>
                <c:pt idx="173">
                  <c:v>-0.1131560534837206</c:v>
                </c:pt>
                <c:pt idx="174">
                  <c:v>-0.11902106981054317</c:v>
                </c:pt>
                <c:pt idx="175">
                  <c:v>-0.12483878609614862</c:v>
                </c:pt>
                <c:pt idx="176">
                  <c:v>-0.13060602355352557</c:v>
                </c:pt>
                <c:pt idx="177">
                  <c:v>-0.13631961874338572</c:v>
                </c:pt>
                <c:pt idx="178">
                  <c:v>-0.14197644906133178</c:v>
                </c:pt>
                <c:pt idx="179">
                  <c:v>-0.14757341735105456</c:v>
                </c:pt>
                <c:pt idx="180">
                  <c:v>-0.15310744558405531</c:v>
                </c:pt>
                <c:pt idx="181">
                  <c:v>-0.15857550229725348</c:v>
                </c:pt>
                <c:pt idx="182">
                  <c:v>-0.16397457330441512</c:v>
                </c:pt>
                <c:pt idx="183">
                  <c:v>-0.16930169113038573</c:v>
                </c:pt>
                <c:pt idx="184">
                  <c:v>-0.17455390586817998</c:v>
                </c:pt>
                <c:pt idx="185">
                  <c:v>-0.17972831121326749</c:v>
                </c:pt>
                <c:pt idx="186">
                  <c:v>-0.18482204391290225</c:v>
                </c:pt>
                <c:pt idx="187">
                  <c:v>-0.18983226022228905</c:v>
                </c:pt>
                <c:pt idx="188">
                  <c:v>-0.19475616396391615</c:v>
                </c:pt>
                <c:pt idx="189">
                  <c:v>-0.19959099377331313</c:v>
                </c:pt>
                <c:pt idx="190">
                  <c:v>-0.20433402822561675</c:v>
                </c:pt>
                <c:pt idx="191">
                  <c:v>-0.20898258036439188</c:v>
                </c:pt>
                <c:pt idx="192">
                  <c:v>-0.21353402074808514</c:v>
                </c:pt>
                <c:pt idx="193">
                  <c:v>-0.21798573482101347</c:v>
                </c:pt>
                <c:pt idx="194">
                  <c:v>-0.22233516565250966</c:v>
                </c:pt>
                <c:pt idx="195">
                  <c:v>-0.22657980878548756</c:v>
                </c:pt>
                <c:pt idx="196">
                  <c:v>-0.23071718584333212</c:v>
                </c:pt>
                <c:pt idx="197">
                  <c:v>-0.23474486972929753</c:v>
                </c:pt>
                <c:pt idx="198">
                  <c:v>-0.23866047259701872</c:v>
                </c:pt>
                <c:pt idx="199">
                  <c:v>-0.24246166586294748</c:v>
                </c:pt>
                <c:pt idx="200">
                  <c:v>-0.24614615768925319</c:v>
                </c:pt>
                <c:pt idx="201">
                  <c:v>-0.249711704260136</c:v>
                </c:pt>
                <c:pt idx="202">
                  <c:v>-0.25315610871956551</c:v>
                </c:pt>
                <c:pt idx="203">
                  <c:v>-0.25647723436961201</c:v>
                </c:pt>
                <c:pt idx="204">
                  <c:v>-0.25967298067897104</c:v>
                </c:pt>
                <c:pt idx="205">
                  <c:v>-0.26274129661985057</c:v>
                </c:pt>
                <c:pt idx="206">
                  <c:v>-0.26568019767836404</c:v>
                </c:pt>
                <c:pt idx="207">
                  <c:v>-0.26848773138254955</c:v>
                </c:pt>
                <c:pt idx="208">
                  <c:v>-0.27116200863019913</c:v>
                </c:pt>
                <c:pt idx="209">
                  <c:v>-0.27370119428837825</c:v>
                </c:pt>
                <c:pt idx="210">
                  <c:v>-0.27610350310425247</c:v>
                </c:pt>
                <c:pt idx="211">
                  <c:v>-0.27836720109419844</c:v>
                </c:pt>
                <c:pt idx="212">
                  <c:v>-0.28049061226553818</c:v>
                </c:pt>
                <c:pt idx="213">
                  <c:v>-0.28247212014775869</c:v>
                </c:pt>
                <c:pt idx="214">
                  <c:v>-0.28431015689989181</c:v>
                </c:pt>
                <c:pt idx="215">
                  <c:v>-0.28600320850813432</c:v>
                </c:pt>
                <c:pt idx="216">
                  <c:v>-0.2875498324570458</c:v>
                </c:pt>
                <c:pt idx="217">
                  <c:v>-0.28894862577644176</c:v>
                </c:pt>
                <c:pt idx="218">
                  <c:v>-0.29019825705844937</c:v>
                </c:pt>
                <c:pt idx="219">
                  <c:v>-0.29129744883249487</c:v>
                </c:pt>
                <c:pt idx="220">
                  <c:v>-0.29224498484481387</c:v>
                </c:pt>
                <c:pt idx="221">
                  <c:v>-0.29303969614957737</c:v>
                </c:pt>
                <c:pt idx="222">
                  <c:v>-0.29368049514744143</c:v>
                </c:pt>
                <c:pt idx="223">
                  <c:v>-0.29416633871193199</c:v>
                </c:pt>
                <c:pt idx="224">
                  <c:v>-0.29449625348831887</c:v>
                </c:pt>
                <c:pt idx="225">
                  <c:v>-0.2946693222121155</c:v>
                </c:pt>
                <c:pt idx="226">
                  <c:v>-0.29468468964921612</c:v>
                </c:pt>
                <c:pt idx="227">
                  <c:v>-0.29454156856090208</c:v>
                </c:pt>
                <c:pt idx="228">
                  <c:v>-0.29423923509241945</c:v>
                </c:pt>
                <c:pt idx="229">
                  <c:v>-0.29377701710942006</c:v>
                </c:pt>
                <c:pt idx="230">
                  <c:v>-0.29315432704990485</c:v>
                </c:pt>
                <c:pt idx="231">
                  <c:v>-0.29237062015852189</c:v>
                </c:pt>
                <c:pt idx="232">
                  <c:v>-0.29142542924276427</c:v>
                </c:pt>
                <c:pt idx="233">
                  <c:v>-0.29031834966986025</c:v>
                </c:pt>
                <c:pt idx="234">
                  <c:v>-0.2890490405142998</c:v>
                </c:pt>
                <c:pt idx="235">
                  <c:v>-0.28761723633508041</c:v>
                </c:pt>
                <c:pt idx="236">
                  <c:v>-0.286022721752488</c:v>
                </c:pt>
                <c:pt idx="237">
                  <c:v>-0.2842653611452306</c:v>
                </c:pt>
                <c:pt idx="238">
                  <c:v>-0.28234508045343887</c:v>
                </c:pt>
                <c:pt idx="239">
                  <c:v>-0.28026188099872229</c:v>
                </c:pt>
                <c:pt idx="240">
                  <c:v>-0.27801582319142426</c:v>
                </c:pt>
                <c:pt idx="241">
                  <c:v>-0.27560702802276182</c:v>
                </c:pt>
                <c:pt idx="242">
                  <c:v>-0.27303571418713091</c:v>
                </c:pt>
                <c:pt idx="243">
                  <c:v>-0.27030214108592077</c:v>
                </c:pt>
                <c:pt idx="244">
                  <c:v>-0.26740665137481301</c:v>
                </c:pt>
                <c:pt idx="245">
                  <c:v>-0.26434965317179149</c:v>
                </c:pt>
                <c:pt idx="246">
                  <c:v>-0.2611316254075291</c:v>
                </c:pt>
                <c:pt idx="247">
                  <c:v>-0.25775312326814515</c:v>
                </c:pt>
                <c:pt idx="248">
                  <c:v>-0.25421475699616281</c:v>
                </c:pt>
                <c:pt idx="249">
                  <c:v>-0.25051722763436146</c:v>
                </c:pt>
                <c:pt idx="250">
                  <c:v>-0.24666129706574225</c:v>
                </c:pt>
                <c:pt idx="251">
                  <c:v>-0.24264779901272959</c:v>
                </c:pt>
                <c:pt idx="252">
                  <c:v>-0.23847763583262349</c:v>
                </c:pt>
                <c:pt idx="253">
                  <c:v>-0.23415178960561889</c:v>
                </c:pt>
                <c:pt idx="254">
                  <c:v>-0.22967131906170835</c:v>
                </c:pt>
                <c:pt idx="255">
                  <c:v>-0.22503734057721658</c:v>
                </c:pt>
                <c:pt idx="256">
                  <c:v>-0.22025105539924539</c:v>
                </c:pt>
                <c:pt idx="257">
                  <c:v>-0.21531373431926681</c:v>
                </c:pt>
                <c:pt idx="258">
                  <c:v>-0.21022672546422427</c:v>
                </c:pt>
                <c:pt idx="259">
                  <c:v>-0.20499144081753684</c:v>
                </c:pt>
                <c:pt idx="260">
                  <c:v>-0.1996093748282135</c:v>
                </c:pt>
                <c:pt idx="261">
                  <c:v>-0.1940820999024595</c:v>
                </c:pt>
                <c:pt idx="262">
                  <c:v>-0.18841125133661762</c:v>
                </c:pt>
                <c:pt idx="263">
                  <c:v>-0.1825985496033411</c:v>
                </c:pt>
                <c:pt idx="264">
                  <c:v>-0.17664578358633776</c:v>
                </c:pt>
                <c:pt idx="265">
                  <c:v>-0.17055482586769699</c:v>
                </c:pt>
                <c:pt idx="266">
                  <c:v>-0.16432760897444609</c:v>
                </c:pt>
                <c:pt idx="267">
                  <c:v>-0.15796616740360037</c:v>
                </c:pt>
                <c:pt idx="268">
                  <c:v>-0.1514725784268478</c:v>
                </c:pt>
                <c:pt idx="269">
                  <c:v>-0.14484902023781387</c:v>
                </c:pt>
                <c:pt idx="270">
                  <c:v>-0.13809773771811251</c:v>
                </c:pt>
                <c:pt idx="271">
                  <c:v>-0.13122105980301058</c:v>
                </c:pt>
                <c:pt idx="272">
                  <c:v>-0.124221376040623</c:v>
                </c:pt>
                <c:pt idx="273">
                  <c:v>-0.11710117001939579</c:v>
                </c:pt>
                <c:pt idx="274">
                  <c:v>-0.10986298891779711</c:v>
                </c:pt>
                <c:pt idx="275">
                  <c:v>-0.10250946995959964</c:v>
                </c:pt>
                <c:pt idx="276">
                  <c:v>-9.5043320689214283E-2</c:v>
                </c:pt>
                <c:pt idx="277">
                  <c:v>-8.7467322426704186E-2</c:v>
                </c:pt>
                <c:pt idx="278">
                  <c:v>-7.9784349747313854E-2</c:v>
                </c:pt>
                <c:pt idx="279">
                  <c:v>-7.1997326044126453E-2</c:v>
                </c:pt>
                <c:pt idx="280">
                  <c:v>-6.4109280414115233E-2</c:v>
                </c:pt>
                <c:pt idx="281">
                  <c:v>-5.6123312221600941E-2</c:v>
                </c:pt>
                <c:pt idx="282">
                  <c:v>-4.8042592982966426E-2</c:v>
                </c:pt>
                <c:pt idx="283">
                  <c:v>-3.9870380753370682E-2</c:v>
                </c:pt>
                <c:pt idx="284">
                  <c:v>-3.1610000830184504E-2</c:v>
                </c:pt>
                <c:pt idx="285">
                  <c:v>-2.3264867303751657E-2</c:v>
                </c:pt>
                <c:pt idx="286">
                  <c:v>-1.4838469198252824E-2</c:v>
                </c:pt>
                <c:pt idx="287">
                  <c:v>-6.3343779004298995E-3</c:v>
                </c:pt>
                <c:pt idx="288">
                  <c:v>2.2437612905434889E-3</c:v>
                </c:pt>
                <c:pt idx="289">
                  <c:v>1.0892219838964934E-2</c:v>
                </c:pt>
                <c:pt idx="290">
                  <c:v>1.9607192591308831E-2</c:v>
                </c:pt>
                <c:pt idx="291">
                  <c:v>2.8384797214897617E-2</c:v>
                </c:pt>
                <c:pt idx="292">
                  <c:v>3.7221064747683386E-2</c:v>
                </c:pt>
                <c:pt idx="293">
                  <c:v>4.6111949616900461E-2</c:v>
                </c:pt>
                <c:pt idx="294">
                  <c:v>5.505333962396719E-2</c:v>
                </c:pt>
                <c:pt idx="295">
                  <c:v>6.4041017918015086E-2</c:v>
                </c:pt>
                <c:pt idx="296">
                  <c:v>7.3070713764167294E-2</c:v>
                </c:pt>
                <c:pt idx="297">
                  <c:v>8.213805019785525E-2</c:v>
                </c:pt>
                <c:pt idx="298">
                  <c:v>9.1238596484188861E-2</c:v>
                </c:pt>
                <c:pt idx="299">
                  <c:v>0.10036782281019896</c:v>
                </c:pt>
                <c:pt idx="300">
                  <c:v>0.10952112954498716</c:v>
                </c:pt>
                <c:pt idx="301">
                  <c:v>0.11869383205720396</c:v>
                </c:pt>
                <c:pt idx="302">
                  <c:v>0.1278811685612169</c:v>
                </c:pt>
                <c:pt idx="303">
                  <c:v>0.13707829374887126</c:v>
                </c:pt>
                <c:pt idx="304">
                  <c:v>0.14628028831609186</c:v>
                </c:pt>
                <c:pt idx="305">
                  <c:v>0.15548214184946119</c:v>
                </c:pt>
                <c:pt idx="306">
                  <c:v>0.16467877649084528</c:v>
                </c:pt>
                <c:pt idx="307">
                  <c:v>0.17386502084981714</c:v>
                </c:pt>
                <c:pt idx="308">
                  <c:v>0.18303563714283655</c:v>
                </c:pt>
                <c:pt idx="309">
                  <c:v>0.19218529502929016</c:v>
                </c:pt>
                <c:pt idx="310">
                  <c:v>0.20130858622380288</c:v>
                </c:pt>
                <c:pt idx="311">
                  <c:v>0.21040002666872226</c:v>
                </c:pt>
                <c:pt idx="312">
                  <c:v>0.21945404977152805</c:v>
                </c:pt>
                <c:pt idx="313">
                  <c:v>0.22846500137418957</c:v>
                </c:pt>
                <c:pt idx="314">
                  <c:v>0.23742715777075318</c:v>
                </c:pt>
                <c:pt idx="315">
                  <c:v>0.24633470463086837</c:v>
                </c:pt>
                <c:pt idx="316">
                  <c:v>0.25518175849192914</c:v>
                </c:pt>
                <c:pt idx="317">
                  <c:v>0.26396234024872456</c:v>
                </c:pt>
                <c:pt idx="318">
                  <c:v>0.27267040368172957</c:v>
                </c:pt>
                <c:pt idx="319">
                  <c:v>0.2812998159988922</c:v>
                </c:pt>
                <c:pt idx="320">
                  <c:v>0.28984435427936717</c:v>
                </c:pt>
                <c:pt idx="321">
                  <c:v>0.29829773392009429</c:v>
                </c:pt>
                <c:pt idx="322">
                  <c:v>0.30665357302162022</c:v>
                </c:pt>
                <c:pt idx="323">
                  <c:v>0.31490542252399223</c:v>
                </c:pt>
                <c:pt idx="324">
                  <c:v>0.32304674118499577</c:v>
                </c:pt>
                <c:pt idx="325">
                  <c:v>0.3310709061103978</c:v>
                </c:pt>
                <c:pt idx="326">
                  <c:v>0.33897123027415432</c:v>
                </c:pt>
                <c:pt idx="327">
                  <c:v>0.34674092145792201</c:v>
                </c:pt>
                <c:pt idx="328">
                  <c:v>0.35437312812014454</c:v>
                </c:pt>
                <c:pt idx="329">
                  <c:v>0.36186090003909044</c:v>
                </c:pt>
                <c:pt idx="330">
                  <c:v>0.36919723235406821</c:v>
                </c:pt>
                <c:pt idx="331">
                  <c:v>0.37637500121867618</c:v>
                </c:pt>
                <c:pt idx="332">
                  <c:v>0.38338703799567497</c:v>
                </c:pt>
                <c:pt idx="333">
                  <c:v>0.39022607017358268</c:v>
                </c:pt>
                <c:pt idx="334">
                  <c:v>0.39688475283661262</c:v>
                </c:pt>
                <c:pt idx="335">
                  <c:v>0.4033556628044721</c:v>
                </c:pt>
                <c:pt idx="336">
                  <c:v>0.40963129274729226</c:v>
                </c:pt>
                <c:pt idx="337">
                  <c:v>0.41570405764090879</c:v>
                </c:pt>
                <c:pt idx="338">
                  <c:v>0.42156628530065632</c:v>
                </c:pt>
                <c:pt idx="339">
                  <c:v>0.42721022456149171</c:v>
                </c:pt>
                <c:pt idx="340">
                  <c:v>0.43262804808463784</c:v>
                </c:pt>
                <c:pt idx="341">
                  <c:v>0.43781185343760853</c:v>
                </c:pt>
                <c:pt idx="342">
                  <c:v>0.44275363741519413</c:v>
                </c:pt>
                <c:pt idx="343">
                  <c:v>0.44744533608742643</c:v>
                </c:pt>
                <c:pt idx="344">
                  <c:v>0.45187879550923071</c:v>
                </c:pt>
                <c:pt idx="345">
                  <c:v>0.45604578505908933</c:v>
                </c:pt>
                <c:pt idx="346">
                  <c:v>0.45993798763177551</c:v>
                </c:pt>
                <c:pt idx="347">
                  <c:v>0.46354701288287004</c:v>
                </c:pt>
                <c:pt idx="348">
                  <c:v>0.46686439270260394</c:v>
                </c:pt>
                <c:pt idx="349">
                  <c:v>0.4698815553094704</c:v>
                </c:pt>
                <c:pt idx="350">
                  <c:v>0.47258988458231954</c:v>
                </c:pt>
                <c:pt idx="351">
                  <c:v>0.47498066036411046</c:v>
                </c:pt>
                <c:pt idx="352">
                  <c:v>0.4770450875248855</c:v>
                </c:pt>
                <c:pt idx="353">
                  <c:v>0.47877428236553499</c:v>
                </c:pt>
                <c:pt idx="354">
                  <c:v>0.48015929807654345</c:v>
                </c:pt>
                <c:pt idx="355">
                  <c:v>0.48119110751088101</c:v>
                </c:pt>
                <c:pt idx="356">
                  <c:v>0.48186057350996236</c:v>
                </c:pt>
                <c:pt idx="357">
                  <c:v>0.48215851334809656</c:v>
                </c:pt>
                <c:pt idx="358">
                  <c:v>0.48207564942970293</c:v>
                </c:pt>
                <c:pt idx="359">
                  <c:v>0.48160262036134327</c:v>
                </c:pt>
                <c:pt idx="360">
                  <c:v>0.48072999911230596</c:v>
                </c:pt>
                <c:pt idx="361">
                  <c:v>0.47944826672718932</c:v>
                </c:pt>
                <c:pt idx="362">
                  <c:v>0.47774782505261015</c:v>
                </c:pt>
                <c:pt idx="363">
                  <c:v>0.4756189970525071</c:v>
                </c:pt>
                <c:pt idx="364">
                  <c:v>0.4730520252698156</c:v>
                </c:pt>
                <c:pt idx="365">
                  <c:v>0.47003708628068352</c:v>
                </c:pt>
                <c:pt idx="366">
                  <c:v>0.46656425532543011</c:v>
                </c:pt>
                <c:pt idx="367">
                  <c:v>0.4626235384801447</c:v>
                </c:pt>
                <c:pt idx="368">
                  <c:v>0.45820486031722396</c:v>
                </c:pt>
                <c:pt idx="369">
                  <c:v>0.45329806756733149</c:v>
                </c:pt>
                <c:pt idx="370">
                  <c:v>0.44789293274583031</c:v>
                </c:pt>
                <c:pt idx="371">
                  <c:v>0.44197913106813758</c:v>
                </c:pt>
                <c:pt idx="372">
                  <c:v>0.43554627955622038</c:v>
                </c:pt>
                <c:pt idx="373">
                  <c:v>0.42858390501088195</c:v>
                </c:pt>
                <c:pt idx="374">
                  <c:v>0.42108145284558418</c:v>
                </c:pt>
                <c:pt idx="375">
                  <c:v>0.4130282887730985</c:v>
                </c:pt>
                <c:pt idx="376">
                  <c:v>0.4044137075398524</c:v>
                </c:pt>
                <c:pt idx="377">
                  <c:v>0.39522691858895342</c:v>
                </c:pt>
                <c:pt idx="378">
                  <c:v>0.38545705473236325</c:v>
                </c:pt>
                <c:pt idx="379">
                  <c:v>0.37509315775086094</c:v>
                </c:pt>
                <c:pt idx="380">
                  <c:v>0.36412421363163361</c:v>
                </c:pt>
                <c:pt idx="381">
                  <c:v>0.35253909903465441</c:v>
                </c:pt>
                <c:pt idx="382">
                  <c:v>0.34032664492533726</c:v>
                </c:pt>
                <c:pt idx="383">
                  <c:v>0.32747557759149615</c:v>
                </c:pt>
                <c:pt idx="384">
                  <c:v>0.31397455384052364</c:v>
                </c:pt>
                <c:pt idx="385">
                  <c:v>0.29981214100827103</c:v>
                </c:pt>
                <c:pt idx="386">
                  <c:v>0.28497684677653012</c:v>
                </c:pt>
                <c:pt idx="387">
                  <c:v>0.26945709025305575</c:v>
                </c:pt>
                <c:pt idx="388">
                  <c:v>0.25324120683123397</c:v>
                </c:pt>
                <c:pt idx="389">
                  <c:v>0.23631745119745418</c:v>
                </c:pt>
                <c:pt idx="390">
                  <c:v>0.21867400923269997</c:v>
                </c:pt>
                <c:pt idx="391">
                  <c:v>0.20029898498741261</c:v>
                </c:pt>
                <c:pt idx="392">
                  <c:v>0.18118039119929819</c:v>
                </c:pt>
                <c:pt idx="393">
                  <c:v>0.16130618058607382</c:v>
                </c:pt>
                <c:pt idx="394">
                  <c:v>0.14066421859215694</c:v>
                </c:pt>
                <c:pt idx="395">
                  <c:v>0.11924227905435458</c:v>
                </c:pt>
                <c:pt idx="396">
                  <c:v>9.7028082637784507E-2</c:v>
                </c:pt>
                <c:pt idx="397">
                  <c:v>7.4009246238126991E-2</c:v>
                </c:pt>
                <c:pt idx="398">
                  <c:v>5.0173316020085679E-2</c:v>
                </c:pt>
                <c:pt idx="399">
                  <c:v>2.5507770113897266E-2</c:v>
                </c:pt>
                <c:pt idx="400">
                  <c:v>-5.31930055558405E-9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95-4E02-805F-2557AB9EC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423000"/>
        <c:axId val="758420376"/>
      </c:scatterChart>
      <c:valAx>
        <c:axId val="758423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 (mm)</a:t>
                </a:r>
                <a:endParaRPr lang="en-US" sz="12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58420376"/>
        <c:crosses val="autoZero"/>
        <c:crossBetween val="midCat"/>
      </c:valAx>
      <c:valAx>
        <c:axId val="7584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Height error (nm)</a:t>
                </a:r>
                <a:endParaRPr lang="en-US" sz="12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58423000"/>
        <c:crosses val="autoZero"/>
        <c:crossBetween val="midCat"/>
      </c:valAx>
    </c:plotArea>
    <c:plotVisOnly val="1"/>
    <c:dispBlanksAs val="gap"/>
    <c:showDLblsOverMax val="0"/>
    <c:extLst/>
  </c:chart>
  <c:spPr>
    <a:ln w="1270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70C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>
                <a:solidFill>
                  <a:srgbClr val="0070C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Bender</a:t>
            </a:r>
            <a:r>
              <a:rPr lang="en-US" b="1" baseline="0">
                <a:solidFill>
                  <a:srgbClr val="0070C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vs ideal profile</a:t>
            </a:r>
            <a:endParaRPr lang="en-US" b="1">
              <a:solidFill>
                <a:srgbClr val="0070C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2945117076817993"/>
          <c:y val="4.234236637149258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0017224409448825E-2"/>
          <c:y val="0.14858869892243678"/>
          <c:w val="0.87442722003499562"/>
          <c:h val="0.74549358413531641"/>
        </c:manualLayout>
      </c:layout>
      <c:scatterChart>
        <c:scatterStyle val="smoothMarker"/>
        <c:varyColors val="0"/>
        <c:ser>
          <c:idx val="1"/>
          <c:order val="0"/>
          <c:tx>
            <c:v>Bender fit</c:v>
          </c:tx>
          <c:marker>
            <c:symbol val="none"/>
          </c:marker>
          <c:xVal>
            <c:numRef>
              <c:f>CALCULATIONS!$N$30:$N$430</c:f>
              <c:numCache>
                <c:formatCode>General</c:formatCode>
                <c:ptCount val="401"/>
                <c:pt idx="0">
                  <c:v>-138</c:v>
                </c:pt>
                <c:pt idx="1">
                  <c:v>-137.31</c:v>
                </c:pt>
                <c:pt idx="2">
                  <c:v>-136.62</c:v>
                </c:pt>
                <c:pt idx="3">
                  <c:v>-135.93</c:v>
                </c:pt>
                <c:pt idx="4">
                  <c:v>-135.24</c:v>
                </c:pt>
                <c:pt idx="5">
                  <c:v>-134.55000000000001</c:v>
                </c:pt>
                <c:pt idx="6">
                  <c:v>-133.86000000000001</c:v>
                </c:pt>
                <c:pt idx="7">
                  <c:v>-133.17000000000002</c:v>
                </c:pt>
                <c:pt idx="8">
                  <c:v>-132.48000000000002</c:v>
                </c:pt>
                <c:pt idx="9">
                  <c:v>-131.79000000000002</c:v>
                </c:pt>
                <c:pt idx="10">
                  <c:v>-131.10000000000002</c:v>
                </c:pt>
                <c:pt idx="11">
                  <c:v>-130.41000000000003</c:v>
                </c:pt>
                <c:pt idx="12">
                  <c:v>-129.72000000000003</c:v>
                </c:pt>
                <c:pt idx="13">
                  <c:v>-129.03000000000003</c:v>
                </c:pt>
                <c:pt idx="14">
                  <c:v>-128.34000000000003</c:v>
                </c:pt>
                <c:pt idx="15">
                  <c:v>-127.65000000000003</c:v>
                </c:pt>
                <c:pt idx="16">
                  <c:v>-126.96000000000004</c:v>
                </c:pt>
                <c:pt idx="17">
                  <c:v>-126.27000000000004</c:v>
                </c:pt>
                <c:pt idx="18">
                  <c:v>-125.58000000000004</c:v>
                </c:pt>
                <c:pt idx="19">
                  <c:v>-124.89000000000004</c:v>
                </c:pt>
                <c:pt idx="20">
                  <c:v>-124.20000000000005</c:v>
                </c:pt>
                <c:pt idx="21">
                  <c:v>-123.51000000000005</c:v>
                </c:pt>
                <c:pt idx="22">
                  <c:v>-122.82000000000005</c:v>
                </c:pt>
                <c:pt idx="23">
                  <c:v>-122.13000000000005</c:v>
                </c:pt>
                <c:pt idx="24">
                  <c:v>-121.44000000000005</c:v>
                </c:pt>
                <c:pt idx="25">
                  <c:v>-120.75000000000006</c:v>
                </c:pt>
                <c:pt idx="26">
                  <c:v>-120.06000000000006</c:v>
                </c:pt>
                <c:pt idx="27">
                  <c:v>-119.37000000000006</c:v>
                </c:pt>
                <c:pt idx="28">
                  <c:v>-118.68000000000006</c:v>
                </c:pt>
                <c:pt idx="29">
                  <c:v>-117.99000000000007</c:v>
                </c:pt>
                <c:pt idx="30">
                  <c:v>-117.30000000000007</c:v>
                </c:pt>
                <c:pt idx="31">
                  <c:v>-116.61000000000007</c:v>
                </c:pt>
                <c:pt idx="32">
                  <c:v>-115.92000000000007</c:v>
                </c:pt>
                <c:pt idx="33">
                  <c:v>-115.23000000000008</c:v>
                </c:pt>
                <c:pt idx="34">
                  <c:v>-114.54000000000008</c:v>
                </c:pt>
                <c:pt idx="35">
                  <c:v>-113.85000000000008</c:v>
                </c:pt>
                <c:pt idx="36">
                  <c:v>-113.16000000000008</c:v>
                </c:pt>
                <c:pt idx="37">
                  <c:v>-112.47000000000008</c:v>
                </c:pt>
                <c:pt idx="38">
                  <c:v>-111.78000000000009</c:v>
                </c:pt>
                <c:pt idx="39">
                  <c:v>-111.09000000000009</c:v>
                </c:pt>
                <c:pt idx="40">
                  <c:v>-110.40000000000009</c:v>
                </c:pt>
                <c:pt idx="41">
                  <c:v>-109.71000000000009</c:v>
                </c:pt>
                <c:pt idx="42">
                  <c:v>-109.0200000000001</c:v>
                </c:pt>
                <c:pt idx="43">
                  <c:v>-108.3300000000001</c:v>
                </c:pt>
                <c:pt idx="44">
                  <c:v>-107.6400000000001</c:v>
                </c:pt>
                <c:pt idx="45">
                  <c:v>-106.9500000000001</c:v>
                </c:pt>
                <c:pt idx="46">
                  <c:v>-106.2600000000001</c:v>
                </c:pt>
                <c:pt idx="47">
                  <c:v>-105.57000000000011</c:v>
                </c:pt>
                <c:pt idx="48">
                  <c:v>-104.88000000000011</c:v>
                </c:pt>
                <c:pt idx="49">
                  <c:v>-104.19000000000011</c:v>
                </c:pt>
                <c:pt idx="50">
                  <c:v>-103.50000000000011</c:v>
                </c:pt>
                <c:pt idx="51">
                  <c:v>-102.81000000000012</c:v>
                </c:pt>
                <c:pt idx="52">
                  <c:v>-102.12000000000012</c:v>
                </c:pt>
                <c:pt idx="53">
                  <c:v>-101.43000000000012</c:v>
                </c:pt>
                <c:pt idx="54">
                  <c:v>-100.74000000000012</c:v>
                </c:pt>
                <c:pt idx="55">
                  <c:v>-100.05000000000013</c:v>
                </c:pt>
                <c:pt idx="56">
                  <c:v>-99.360000000000127</c:v>
                </c:pt>
                <c:pt idx="57">
                  <c:v>-98.67000000000013</c:v>
                </c:pt>
                <c:pt idx="58">
                  <c:v>-97.980000000000132</c:v>
                </c:pt>
                <c:pt idx="59">
                  <c:v>-97.290000000000134</c:v>
                </c:pt>
                <c:pt idx="60">
                  <c:v>-96.600000000000136</c:v>
                </c:pt>
                <c:pt idx="61">
                  <c:v>-95.910000000000139</c:v>
                </c:pt>
                <c:pt idx="62">
                  <c:v>-95.220000000000141</c:v>
                </c:pt>
                <c:pt idx="63">
                  <c:v>-94.530000000000143</c:v>
                </c:pt>
                <c:pt idx="64">
                  <c:v>-93.840000000000146</c:v>
                </c:pt>
                <c:pt idx="65">
                  <c:v>-93.150000000000148</c:v>
                </c:pt>
                <c:pt idx="66">
                  <c:v>-92.46000000000015</c:v>
                </c:pt>
                <c:pt idx="67">
                  <c:v>-91.770000000000152</c:v>
                </c:pt>
                <c:pt idx="68">
                  <c:v>-91.080000000000155</c:v>
                </c:pt>
                <c:pt idx="69">
                  <c:v>-90.390000000000157</c:v>
                </c:pt>
                <c:pt idx="70">
                  <c:v>-89.700000000000159</c:v>
                </c:pt>
                <c:pt idx="71">
                  <c:v>-89.010000000000161</c:v>
                </c:pt>
                <c:pt idx="72">
                  <c:v>-88.320000000000164</c:v>
                </c:pt>
                <c:pt idx="73">
                  <c:v>-87.630000000000166</c:v>
                </c:pt>
                <c:pt idx="74">
                  <c:v>-86.940000000000168</c:v>
                </c:pt>
                <c:pt idx="75">
                  <c:v>-86.250000000000171</c:v>
                </c:pt>
                <c:pt idx="76">
                  <c:v>-85.560000000000173</c:v>
                </c:pt>
                <c:pt idx="77">
                  <c:v>-84.870000000000175</c:v>
                </c:pt>
                <c:pt idx="78">
                  <c:v>-84.180000000000177</c:v>
                </c:pt>
                <c:pt idx="79">
                  <c:v>-83.49000000000018</c:v>
                </c:pt>
                <c:pt idx="80">
                  <c:v>-82.800000000000182</c:v>
                </c:pt>
                <c:pt idx="81">
                  <c:v>-82.110000000000184</c:v>
                </c:pt>
                <c:pt idx="82">
                  <c:v>-81.420000000000186</c:v>
                </c:pt>
                <c:pt idx="83">
                  <c:v>-80.730000000000189</c:v>
                </c:pt>
                <c:pt idx="84">
                  <c:v>-80.040000000000191</c:v>
                </c:pt>
                <c:pt idx="85">
                  <c:v>-79.350000000000193</c:v>
                </c:pt>
                <c:pt idx="86">
                  <c:v>-78.660000000000196</c:v>
                </c:pt>
                <c:pt idx="87">
                  <c:v>-77.970000000000198</c:v>
                </c:pt>
                <c:pt idx="88">
                  <c:v>-77.2800000000002</c:v>
                </c:pt>
                <c:pt idx="89">
                  <c:v>-76.590000000000202</c:v>
                </c:pt>
                <c:pt idx="90">
                  <c:v>-75.900000000000205</c:v>
                </c:pt>
                <c:pt idx="91">
                  <c:v>-75.210000000000207</c:v>
                </c:pt>
                <c:pt idx="92">
                  <c:v>-74.520000000000209</c:v>
                </c:pt>
                <c:pt idx="93">
                  <c:v>-73.830000000000211</c:v>
                </c:pt>
                <c:pt idx="94">
                  <c:v>-73.140000000000214</c:v>
                </c:pt>
                <c:pt idx="95">
                  <c:v>-72.450000000000216</c:v>
                </c:pt>
                <c:pt idx="96">
                  <c:v>-71.760000000000218</c:v>
                </c:pt>
                <c:pt idx="97">
                  <c:v>-71.070000000000221</c:v>
                </c:pt>
                <c:pt idx="98">
                  <c:v>-70.380000000000223</c:v>
                </c:pt>
                <c:pt idx="99">
                  <c:v>-69.690000000000225</c:v>
                </c:pt>
                <c:pt idx="100">
                  <c:v>-69.000000000000227</c:v>
                </c:pt>
                <c:pt idx="101">
                  <c:v>-68.31000000000023</c:v>
                </c:pt>
                <c:pt idx="102">
                  <c:v>-67.620000000000232</c:v>
                </c:pt>
                <c:pt idx="103">
                  <c:v>-66.930000000000234</c:v>
                </c:pt>
                <c:pt idx="104">
                  <c:v>-66.240000000000236</c:v>
                </c:pt>
                <c:pt idx="105">
                  <c:v>-65.550000000000239</c:v>
                </c:pt>
                <c:pt idx="106">
                  <c:v>-64.860000000000241</c:v>
                </c:pt>
                <c:pt idx="107">
                  <c:v>-64.170000000000243</c:v>
                </c:pt>
                <c:pt idx="108">
                  <c:v>-63.480000000000246</c:v>
                </c:pt>
                <c:pt idx="109">
                  <c:v>-62.790000000000248</c:v>
                </c:pt>
                <c:pt idx="110">
                  <c:v>-62.10000000000025</c:v>
                </c:pt>
                <c:pt idx="111">
                  <c:v>-61.410000000000252</c:v>
                </c:pt>
                <c:pt idx="112">
                  <c:v>-60.720000000000255</c:v>
                </c:pt>
                <c:pt idx="113">
                  <c:v>-60.030000000000257</c:v>
                </c:pt>
                <c:pt idx="114">
                  <c:v>-59.340000000000259</c:v>
                </c:pt>
                <c:pt idx="115">
                  <c:v>-58.650000000000261</c:v>
                </c:pt>
                <c:pt idx="116">
                  <c:v>-57.960000000000264</c:v>
                </c:pt>
                <c:pt idx="117">
                  <c:v>-57.270000000000266</c:v>
                </c:pt>
                <c:pt idx="118">
                  <c:v>-56.580000000000268</c:v>
                </c:pt>
                <c:pt idx="119">
                  <c:v>-55.890000000000271</c:v>
                </c:pt>
                <c:pt idx="120">
                  <c:v>-55.200000000000273</c:v>
                </c:pt>
                <c:pt idx="121">
                  <c:v>-54.510000000000275</c:v>
                </c:pt>
                <c:pt idx="122">
                  <c:v>-53.820000000000277</c:v>
                </c:pt>
                <c:pt idx="123">
                  <c:v>-53.13000000000028</c:v>
                </c:pt>
                <c:pt idx="124">
                  <c:v>-52.440000000000282</c:v>
                </c:pt>
                <c:pt idx="125">
                  <c:v>-51.750000000000284</c:v>
                </c:pt>
                <c:pt idx="126">
                  <c:v>-51.060000000000286</c:v>
                </c:pt>
                <c:pt idx="127">
                  <c:v>-50.370000000000289</c:v>
                </c:pt>
                <c:pt idx="128">
                  <c:v>-49.680000000000291</c:v>
                </c:pt>
                <c:pt idx="129">
                  <c:v>-48.990000000000293</c:v>
                </c:pt>
                <c:pt idx="130">
                  <c:v>-48.300000000000296</c:v>
                </c:pt>
                <c:pt idx="131">
                  <c:v>-47.610000000000298</c:v>
                </c:pt>
                <c:pt idx="132">
                  <c:v>-46.9200000000003</c:v>
                </c:pt>
                <c:pt idx="133">
                  <c:v>-46.230000000000302</c:v>
                </c:pt>
                <c:pt idx="134">
                  <c:v>-45.540000000000305</c:v>
                </c:pt>
                <c:pt idx="135">
                  <c:v>-44.850000000000307</c:v>
                </c:pt>
                <c:pt idx="136">
                  <c:v>-44.160000000000309</c:v>
                </c:pt>
                <c:pt idx="137">
                  <c:v>-43.470000000000312</c:v>
                </c:pt>
                <c:pt idx="138">
                  <c:v>-42.780000000000314</c:v>
                </c:pt>
                <c:pt idx="139">
                  <c:v>-42.090000000000316</c:v>
                </c:pt>
                <c:pt idx="140">
                  <c:v>-41.400000000000318</c:v>
                </c:pt>
                <c:pt idx="141">
                  <c:v>-40.710000000000321</c:v>
                </c:pt>
                <c:pt idx="142">
                  <c:v>-40.020000000000323</c:v>
                </c:pt>
                <c:pt idx="143">
                  <c:v>-39.330000000000325</c:v>
                </c:pt>
                <c:pt idx="144">
                  <c:v>-38.640000000000327</c:v>
                </c:pt>
                <c:pt idx="145">
                  <c:v>-37.95000000000033</c:v>
                </c:pt>
                <c:pt idx="146">
                  <c:v>-37.260000000000332</c:v>
                </c:pt>
                <c:pt idx="147">
                  <c:v>-36.570000000000334</c:v>
                </c:pt>
                <c:pt idx="148">
                  <c:v>-35.880000000000337</c:v>
                </c:pt>
                <c:pt idx="149">
                  <c:v>-35.190000000000339</c:v>
                </c:pt>
                <c:pt idx="150">
                  <c:v>-34.500000000000341</c:v>
                </c:pt>
                <c:pt idx="151">
                  <c:v>-33.810000000000343</c:v>
                </c:pt>
                <c:pt idx="152">
                  <c:v>-33.120000000000346</c:v>
                </c:pt>
                <c:pt idx="153">
                  <c:v>-32.430000000000348</c:v>
                </c:pt>
                <c:pt idx="154">
                  <c:v>-31.740000000000347</c:v>
                </c:pt>
                <c:pt idx="155">
                  <c:v>-31.050000000000345</c:v>
                </c:pt>
                <c:pt idx="156">
                  <c:v>-30.360000000000344</c:v>
                </c:pt>
                <c:pt idx="157">
                  <c:v>-29.670000000000343</c:v>
                </c:pt>
                <c:pt idx="158">
                  <c:v>-28.980000000000341</c:v>
                </c:pt>
                <c:pt idx="159">
                  <c:v>-28.29000000000034</c:v>
                </c:pt>
                <c:pt idx="160">
                  <c:v>-27.600000000000339</c:v>
                </c:pt>
                <c:pt idx="161">
                  <c:v>-26.910000000000338</c:v>
                </c:pt>
                <c:pt idx="162">
                  <c:v>-26.220000000000336</c:v>
                </c:pt>
                <c:pt idx="163">
                  <c:v>-25.530000000000335</c:v>
                </c:pt>
                <c:pt idx="164">
                  <c:v>-24.840000000000334</c:v>
                </c:pt>
                <c:pt idx="165">
                  <c:v>-24.150000000000333</c:v>
                </c:pt>
                <c:pt idx="166">
                  <c:v>-23.460000000000331</c:v>
                </c:pt>
                <c:pt idx="167">
                  <c:v>-22.77000000000033</c:v>
                </c:pt>
                <c:pt idx="168">
                  <c:v>-22.080000000000329</c:v>
                </c:pt>
                <c:pt idx="169">
                  <c:v>-21.390000000000327</c:v>
                </c:pt>
                <c:pt idx="170">
                  <c:v>-20.700000000000326</c:v>
                </c:pt>
                <c:pt idx="171">
                  <c:v>-20.010000000000325</c:v>
                </c:pt>
                <c:pt idx="172">
                  <c:v>-19.320000000000324</c:v>
                </c:pt>
                <c:pt idx="173">
                  <c:v>-18.630000000000322</c:v>
                </c:pt>
                <c:pt idx="174">
                  <c:v>-17.940000000000321</c:v>
                </c:pt>
                <c:pt idx="175">
                  <c:v>-17.25000000000032</c:v>
                </c:pt>
                <c:pt idx="176">
                  <c:v>-16.560000000000318</c:v>
                </c:pt>
                <c:pt idx="177">
                  <c:v>-15.870000000000319</c:v>
                </c:pt>
                <c:pt idx="178">
                  <c:v>-15.180000000000319</c:v>
                </c:pt>
                <c:pt idx="179">
                  <c:v>-14.49000000000032</c:v>
                </c:pt>
                <c:pt idx="180">
                  <c:v>-13.80000000000032</c:v>
                </c:pt>
                <c:pt idx="181">
                  <c:v>-13.110000000000321</c:v>
                </c:pt>
                <c:pt idx="182">
                  <c:v>-12.420000000000321</c:v>
                </c:pt>
                <c:pt idx="183">
                  <c:v>-11.730000000000322</c:v>
                </c:pt>
                <c:pt idx="184">
                  <c:v>-11.040000000000322</c:v>
                </c:pt>
                <c:pt idx="185">
                  <c:v>-10.350000000000323</c:v>
                </c:pt>
                <c:pt idx="186">
                  <c:v>-9.6600000000003234</c:v>
                </c:pt>
                <c:pt idx="187">
                  <c:v>-8.9700000000003239</c:v>
                </c:pt>
                <c:pt idx="188">
                  <c:v>-8.2800000000003244</c:v>
                </c:pt>
                <c:pt idx="189">
                  <c:v>-7.5900000000003249</c:v>
                </c:pt>
                <c:pt idx="190">
                  <c:v>-6.9000000000003254</c:v>
                </c:pt>
                <c:pt idx="191">
                  <c:v>-6.2100000000003259</c:v>
                </c:pt>
                <c:pt idx="192">
                  <c:v>-5.5200000000003264</c:v>
                </c:pt>
                <c:pt idx="193">
                  <c:v>-4.8300000000003269</c:v>
                </c:pt>
                <c:pt idx="194">
                  <c:v>-4.1400000000003274</c:v>
                </c:pt>
                <c:pt idx="195">
                  <c:v>-3.4500000000003275</c:v>
                </c:pt>
                <c:pt idx="196">
                  <c:v>-2.7600000000003275</c:v>
                </c:pt>
                <c:pt idx="197">
                  <c:v>-2.0700000000003276</c:v>
                </c:pt>
                <c:pt idx="198">
                  <c:v>-1.3800000000003276</c:v>
                </c:pt>
                <c:pt idx="199">
                  <c:v>-0.69000000000032768</c:v>
                </c:pt>
                <c:pt idx="200">
                  <c:v>-3.2773783686934621E-13</c:v>
                </c:pt>
                <c:pt idx="201">
                  <c:v>0.68999999999967221</c:v>
                </c:pt>
                <c:pt idx="202">
                  <c:v>1.3799999999996722</c:v>
                </c:pt>
                <c:pt idx="203">
                  <c:v>2.0699999999996721</c:v>
                </c:pt>
                <c:pt idx="204">
                  <c:v>2.759999999999672</c:v>
                </c:pt>
                <c:pt idx="205">
                  <c:v>3.449999999999672</c:v>
                </c:pt>
                <c:pt idx="206">
                  <c:v>4.1399999999996719</c:v>
                </c:pt>
                <c:pt idx="207">
                  <c:v>4.8299999999996714</c:v>
                </c:pt>
                <c:pt idx="208">
                  <c:v>5.5199999999996709</c:v>
                </c:pt>
                <c:pt idx="209">
                  <c:v>6.2099999999996705</c:v>
                </c:pt>
                <c:pt idx="210">
                  <c:v>6.89999999999967</c:v>
                </c:pt>
                <c:pt idx="211">
                  <c:v>7.5899999999996695</c:v>
                </c:pt>
                <c:pt idx="212">
                  <c:v>8.279999999999669</c:v>
                </c:pt>
                <c:pt idx="213">
                  <c:v>8.9699999999996685</c:v>
                </c:pt>
                <c:pt idx="214">
                  <c:v>9.659999999999668</c:v>
                </c:pt>
                <c:pt idx="215">
                  <c:v>10.349999999999667</c:v>
                </c:pt>
                <c:pt idx="216">
                  <c:v>11.039999999999667</c:v>
                </c:pt>
                <c:pt idx="217">
                  <c:v>11.729999999999666</c:v>
                </c:pt>
                <c:pt idx="218">
                  <c:v>12.419999999999666</c:v>
                </c:pt>
                <c:pt idx="219">
                  <c:v>13.109999999999665</c:v>
                </c:pt>
                <c:pt idx="220">
                  <c:v>13.799999999999665</c:v>
                </c:pt>
                <c:pt idx="221">
                  <c:v>14.489999999999664</c:v>
                </c:pt>
                <c:pt idx="222">
                  <c:v>15.179999999999664</c:v>
                </c:pt>
                <c:pt idx="223">
                  <c:v>15.869999999999663</c:v>
                </c:pt>
                <c:pt idx="224">
                  <c:v>16.559999999999665</c:v>
                </c:pt>
                <c:pt idx="225">
                  <c:v>17.249999999999666</c:v>
                </c:pt>
                <c:pt idx="226">
                  <c:v>17.939999999999667</c:v>
                </c:pt>
                <c:pt idx="227">
                  <c:v>18.629999999999669</c:v>
                </c:pt>
                <c:pt idx="228">
                  <c:v>19.31999999999967</c:v>
                </c:pt>
                <c:pt idx="229">
                  <c:v>20.009999999999671</c:v>
                </c:pt>
                <c:pt idx="230">
                  <c:v>20.699999999999672</c:v>
                </c:pt>
                <c:pt idx="231">
                  <c:v>21.389999999999674</c:v>
                </c:pt>
                <c:pt idx="232">
                  <c:v>22.079999999999675</c:v>
                </c:pt>
                <c:pt idx="233">
                  <c:v>22.769999999999676</c:v>
                </c:pt>
                <c:pt idx="234">
                  <c:v>23.459999999999678</c:v>
                </c:pt>
                <c:pt idx="235">
                  <c:v>24.149999999999679</c:v>
                </c:pt>
                <c:pt idx="236">
                  <c:v>24.83999999999968</c:v>
                </c:pt>
                <c:pt idx="237">
                  <c:v>25.529999999999681</c:v>
                </c:pt>
                <c:pt idx="238">
                  <c:v>26.219999999999683</c:v>
                </c:pt>
                <c:pt idx="239">
                  <c:v>26.909999999999684</c:v>
                </c:pt>
                <c:pt idx="240">
                  <c:v>27.599999999999685</c:v>
                </c:pt>
                <c:pt idx="241">
                  <c:v>28.289999999999687</c:v>
                </c:pt>
                <c:pt idx="242">
                  <c:v>28.979999999999688</c:v>
                </c:pt>
                <c:pt idx="243">
                  <c:v>29.669999999999689</c:v>
                </c:pt>
                <c:pt idx="244">
                  <c:v>30.35999999999969</c:v>
                </c:pt>
                <c:pt idx="245">
                  <c:v>31.049999999999692</c:v>
                </c:pt>
                <c:pt idx="246">
                  <c:v>31.739999999999693</c:v>
                </c:pt>
                <c:pt idx="247">
                  <c:v>32.429999999999694</c:v>
                </c:pt>
                <c:pt idx="248">
                  <c:v>33.119999999999692</c:v>
                </c:pt>
                <c:pt idx="249">
                  <c:v>33.80999999999969</c:v>
                </c:pt>
                <c:pt idx="250">
                  <c:v>34.499999999999687</c:v>
                </c:pt>
                <c:pt idx="251">
                  <c:v>35.189999999999685</c:v>
                </c:pt>
                <c:pt idx="252">
                  <c:v>35.879999999999683</c:v>
                </c:pt>
                <c:pt idx="253">
                  <c:v>36.569999999999681</c:v>
                </c:pt>
                <c:pt idx="254">
                  <c:v>37.259999999999678</c:v>
                </c:pt>
                <c:pt idx="255">
                  <c:v>37.949999999999676</c:v>
                </c:pt>
                <c:pt idx="256">
                  <c:v>38.639999999999674</c:v>
                </c:pt>
                <c:pt idx="257">
                  <c:v>39.329999999999671</c:v>
                </c:pt>
                <c:pt idx="258">
                  <c:v>40.019999999999669</c:v>
                </c:pt>
                <c:pt idx="259">
                  <c:v>40.709999999999667</c:v>
                </c:pt>
                <c:pt idx="260">
                  <c:v>41.399999999999665</c:v>
                </c:pt>
                <c:pt idx="261">
                  <c:v>42.089999999999662</c:v>
                </c:pt>
                <c:pt idx="262">
                  <c:v>42.77999999999966</c:v>
                </c:pt>
                <c:pt idx="263">
                  <c:v>43.469999999999658</c:v>
                </c:pt>
                <c:pt idx="264">
                  <c:v>44.159999999999656</c:v>
                </c:pt>
                <c:pt idx="265">
                  <c:v>44.849999999999653</c:v>
                </c:pt>
                <c:pt idx="266">
                  <c:v>45.539999999999651</c:v>
                </c:pt>
                <c:pt idx="267">
                  <c:v>46.229999999999649</c:v>
                </c:pt>
                <c:pt idx="268">
                  <c:v>46.919999999999646</c:v>
                </c:pt>
                <c:pt idx="269">
                  <c:v>47.609999999999644</c:v>
                </c:pt>
                <c:pt idx="270">
                  <c:v>48.299999999999642</c:v>
                </c:pt>
                <c:pt idx="271">
                  <c:v>48.98999999999964</c:v>
                </c:pt>
                <c:pt idx="272">
                  <c:v>49.679999999999637</c:v>
                </c:pt>
                <c:pt idx="273">
                  <c:v>50.369999999999635</c:v>
                </c:pt>
                <c:pt idx="274">
                  <c:v>51.059999999999633</c:v>
                </c:pt>
                <c:pt idx="275">
                  <c:v>51.749999999999631</c:v>
                </c:pt>
                <c:pt idx="276">
                  <c:v>52.439999999999628</c:v>
                </c:pt>
                <c:pt idx="277">
                  <c:v>53.129999999999626</c:v>
                </c:pt>
                <c:pt idx="278">
                  <c:v>53.819999999999624</c:v>
                </c:pt>
                <c:pt idx="279">
                  <c:v>54.509999999999621</c:v>
                </c:pt>
                <c:pt idx="280">
                  <c:v>55.199999999999619</c:v>
                </c:pt>
                <c:pt idx="281">
                  <c:v>55.889999999999617</c:v>
                </c:pt>
                <c:pt idx="282">
                  <c:v>56.579999999999615</c:v>
                </c:pt>
                <c:pt idx="283">
                  <c:v>57.269999999999612</c:v>
                </c:pt>
                <c:pt idx="284">
                  <c:v>57.95999999999961</c:v>
                </c:pt>
                <c:pt idx="285">
                  <c:v>58.649999999999608</c:v>
                </c:pt>
                <c:pt idx="286">
                  <c:v>59.339999999999606</c:v>
                </c:pt>
                <c:pt idx="287">
                  <c:v>60.029999999999603</c:v>
                </c:pt>
                <c:pt idx="288">
                  <c:v>60.719999999999601</c:v>
                </c:pt>
                <c:pt idx="289">
                  <c:v>61.409999999999599</c:v>
                </c:pt>
                <c:pt idx="290">
                  <c:v>62.099999999999596</c:v>
                </c:pt>
                <c:pt idx="291">
                  <c:v>62.789999999999594</c:v>
                </c:pt>
                <c:pt idx="292">
                  <c:v>63.479999999999592</c:v>
                </c:pt>
                <c:pt idx="293">
                  <c:v>64.16999999999959</c:v>
                </c:pt>
                <c:pt idx="294">
                  <c:v>64.859999999999587</c:v>
                </c:pt>
                <c:pt idx="295">
                  <c:v>65.549999999999585</c:v>
                </c:pt>
                <c:pt idx="296">
                  <c:v>66.239999999999583</c:v>
                </c:pt>
                <c:pt idx="297">
                  <c:v>66.92999999999958</c:v>
                </c:pt>
                <c:pt idx="298">
                  <c:v>67.619999999999578</c:v>
                </c:pt>
                <c:pt idx="299">
                  <c:v>68.309999999999576</c:v>
                </c:pt>
                <c:pt idx="300">
                  <c:v>68.999999999999574</c:v>
                </c:pt>
                <c:pt idx="301">
                  <c:v>69.689999999999571</c:v>
                </c:pt>
                <c:pt idx="302">
                  <c:v>70.379999999999569</c:v>
                </c:pt>
                <c:pt idx="303">
                  <c:v>71.069999999999567</c:v>
                </c:pt>
                <c:pt idx="304">
                  <c:v>71.759999999999565</c:v>
                </c:pt>
                <c:pt idx="305">
                  <c:v>72.449999999999562</c:v>
                </c:pt>
                <c:pt idx="306">
                  <c:v>73.13999999999956</c:v>
                </c:pt>
                <c:pt idx="307">
                  <c:v>73.829999999999558</c:v>
                </c:pt>
                <c:pt idx="308">
                  <c:v>74.519999999999555</c:v>
                </c:pt>
                <c:pt idx="309">
                  <c:v>75.209999999999553</c:v>
                </c:pt>
                <c:pt idx="310">
                  <c:v>75.899999999999551</c:v>
                </c:pt>
                <c:pt idx="311">
                  <c:v>76.589999999999549</c:v>
                </c:pt>
                <c:pt idx="312">
                  <c:v>77.279999999999546</c:v>
                </c:pt>
                <c:pt idx="313">
                  <c:v>77.969999999999544</c:v>
                </c:pt>
                <c:pt idx="314">
                  <c:v>78.659999999999542</c:v>
                </c:pt>
                <c:pt idx="315">
                  <c:v>79.34999999999954</c:v>
                </c:pt>
                <c:pt idx="316">
                  <c:v>80.039999999999537</c:v>
                </c:pt>
                <c:pt idx="317">
                  <c:v>80.729999999999535</c:v>
                </c:pt>
                <c:pt idx="318">
                  <c:v>81.419999999999533</c:v>
                </c:pt>
                <c:pt idx="319">
                  <c:v>82.10999999999953</c:v>
                </c:pt>
                <c:pt idx="320">
                  <c:v>82.799999999999528</c:v>
                </c:pt>
                <c:pt idx="321">
                  <c:v>83.489999999999526</c:v>
                </c:pt>
                <c:pt idx="322">
                  <c:v>84.179999999999524</c:v>
                </c:pt>
                <c:pt idx="323">
                  <c:v>84.869999999999521</c:v>
                </c:pt>
                <c:pt idx="324">
                  <c:v>85.559999999999519</c:v>
                </c:pt>
                <c:pt idx="325">
                  <c:v>86.249999999999517</c:v>
                </c:pt>
                <c:pt idx="326">
                  <c:v>86.939999999999515</c:v>
                </c:pt>
                <c:pt idx="327">
                  <c:v>87.629999999999512</c:v>
                </c:pt>
                <c:pt idx="328">
                  <c:v>88.31999999999951</c:v>
                </c:pt>
                <c:pt idx="329">
                  <c:v>89.009999999999508</c:v>
                </c:pt>
                <c:pt idx="330">
                  <c:v>89.699999999999505</c:v>
                </c:pt>
                <c:pt idx="331">
                  <c:v>90.389999999999503</c:v>
                </c:pt>
                <c:pt idx="332">
                  <c:v>91.079999999999501</c:v>
                </c:pt>
                <c:pt idx="333">
                  <c:v>91.769999999999499</c:v>
                </c:pt>
                <c:pt idx="334">
                  <c:v>92.459999999999496</c:v>
                </c:pt>
                <c:pt idx="335">
                  <c:v>93.149999999999494</c:v>
                </c:pt>
                <c:pt idx="336">
                  <c:v>93.839999999999492</c:v>
                </c:pt>
                <c:pt idx="337">
                  <c:v>94.52999999999949</c:v>
                </c:pt>
                <c:pt idx="338">
                  <c:v>95.219999999999487</c:v>
                </c:pt>
                <c:pt idx="339">
                  <c:v>95.909999999999485</c:v>
                </c:pt>
                <c:pt idx="340">
                  <c:v>96.599999999999483</c:v>
                </c:pt>
                <c:pt idx="341">
                  <c:v>97.28999999999948</c:v>
                </c:pt>
                <c:pt idx="342">
                  <c:v>97.979999999999478</c:v>
                </c:pt>
                <c:pt idx="343">
                  <c:v>98.669999999999476</c:v>
                </c:pt>
                <c:pt idx="344">
                  <c:v>99.359999999999474</c:v>
                </c:pt>
                <c:pt idx="345">
                  <c:v>100.04999999999947</c:v>
                </c:pt>
                <c:pt idx="346">
                  <c:v>100.73999999999947</c:v>
                </c:pt>
                <c:pt idx="347">
                  <c:v>101.42999999999947</c:v>
                </c:pt>
                <c:pt idx="348">
                  <c:v>102.11999999999946</c:v>
                </c:pt>
                <c:pt idx="349">
                  <c:v>102.80999999999946</c:v>
                </c:pt>
                <c:pt idx="350">
                  <c:v>103.49999999999946</c:v>
                </c:pt>
                <c:pt idx="351">
                  <c:v>104.18999999999946</c:v>
                </c:pt>
                <c:pt idx="352">
                  <c:v>104.87999999999946</c:v>
                </c:pt>
                <c:pt idx="353">
                  <c:v>105.56999999999945</c:v>
                </c:pt>
                <c:pt idx="354">
                  <c:v>106.25999999999945</c:v>
                </c:pt>
                <c:pt idx="355">
                  <c:v>106.94999999999945</c:v>
                </c:pt>
                <c:pt idx="356">
                  <c:v>107.63999999999945</c:v>
                </c:pt>
                <c:pt idx="357">
                  <c:v>108.32999999999944</c:v>
                </c:pt>
                <c:pt idx="358">
                  <c:v>109.01999999999944</c:v>
                </c:pt>
                <c:pt idx="359">
                  <c:v>109.70999999999944</c:v>
                </c:pt>
                <c:pt idx="360">
                  <c:v>110.39999999999944</c:v>
                </c:pt>
                <c:pt idx="361">
                  <c:v>111.08999999999943</c:v>
                </c:pt>
                <c:pt idx="362">
                  <c:v>111.77999999999943</c:v>
                </c:pt>
                <c:pt idx="363">
                  <c:v>112.46999999999943</c:v>
                </c:pt>
                <c:pt idx="364">
                  <c:v>113.15999999999943</c:v>
                </c:pt>
                <c:pt idx="365">
                  <c:v>113.84999999999943</c:v>
                </c:pt>
                <c:pt idx="366">
                  <c:v>114.53999999999942</c:v>
                </c:pt>
                <c:pt idx="367">
                  <c:v>115.22999999999942</c:v>
                </c:pt>
                <c:pt idx="368">
                  <c:v>115.91999999999942</c:v>
                </c:pt>
                <c:pt idx="369">
                  <c:v>116.60999999999942</c:v>
                </c:pt>
                <c:pt idx="370">
                  <c:v>117.29999999999941</c:v>
                </c:pt>
                <c:pt idx="371">
                  <c:v>117.98999999999941</c:v>
                </c:pt>
                <c:pt idx="372">
                  <c:v>118.67999999999941</c:v>
                </c:pt>
                <c:pt idx="373">
                  <c:v>119.36999999999941</c:v>
                </c:pt>
                <c:pt idx="374">
                  <c:v>120.05999999999941</c:v>
                </c:pt>
                <c:pt idx="375">
                  <c:v>120.7499999999994</c:v>
                </c:pt>
                <c:pt idx="376">
                  <c:v>121.4399999999994</c:v>
                </c:pt>
                <c:pt idx="377">
                  <c:v>122.1299999999994</c:v>
                </c:pt>
                <c:pt idx="378">
                  <c:v>122.8199999999994</c:v>
                </c:pt>
                <c:pt idx="379">
                  <c:v>123.50999999999939</c:v>
                </c:pt>
                <c:pt idx="380">
                  <c:v>124.19999999999939</c:v>
                </c:pt>
                <c:pt idx="381">
                  <c:v>124.88999999999939</c:v>
                </c:pt>
                <c:pt idx="382">
                  <c:v>125.57999999999939</c:v>
                </c:pt>
                <c:pt idx="383">
                  <c:v>126.26999999999938</c:v>
                </c:pt>
                <c:pt idx="384">
                  <c:v>126.95999999999938</c:v>
                </c:pt>
                <c:pt idx="385">
                  <c:v>127.64999999999938</c:v>
                </c:pt>
                <c:pt idx="386">
                  <c:v>128.33999999999938</c:v>
                </c:pt>
                <c:pt idx="387">
                  <c:v>129.02999999999938</c:v>
                </c:pt>
                <c:pt idx="388">
                  <c:v>129.71999999999937</c:v>
                </c:pt>
                <c:pt idx="389">
                  <c:v>130.40999999999937</c:v>
                </c:pt>
                <c:pt idx="390">
                  <c:v>131.09999999999937</c:v>
                </c:pt>
                <c:pt idx="391">
                  <c:v>131.78999999999937</c:v>
                </c:pt>
                <c:pt idx="392">
                  <c:v>132.47999999999936</c:v>
                </c:pt>
                <c:pt idx="393">
                  <c:v>133.16999999999936</c:v>
                </c:pt>
                <c:pt idx="394">
                  <c:v>133.85999999999936</c:v>
                </c:pt>
                <c:pt idx="395">
                  <c:v>134.54999999999936</c:v>
                </c:pt>
                <c:pt idx="396">
                  <c:v>135.23999999999936</c:v>
                </c:pt>
                <c:pt idx="397">
                  <c:v>135.92999999999935</c:v>
                </c:pt>
                <c:pt idx="398">
                  <c:v>136.61999999999935</c:v>
                </c:pt>
                <c:pt idx="399">
                  <c:v>137.30999999999935</c:v>
                </c:pt>
                <c:pt idx="400">
                  <c:v>137.99999999999935</c:v>
                </c:pt>
              </c:numCache>
            </c:numRef>
          </c:xVal>
          <c:yVal>
            <c:numRef>
              <c:f>CALCULATIONS!$O$30:$O$430</c:f>
              <c:numCache>
                <c:formatCode>General</c:formatCode>
                <c:ptCount val="401"/>
                <c:pt idx="0">
                  <c:v>-1.7763568394002505E-12</c:v>
                </c:pt>
                <c:pt idx="1">
                  <c:v>-0.21394469204949473</c:v>
                </c:pt>
                <c:pt idx="2">
                  <c:v>-0.42654230614047606</c:v>
                </c:pt>
                <c:pt idx="3">
                  <c:v>-0.63779561492083303</c:v>
                </c:pt>
                <c:pt idx="4">
                  <c:v>-0.84770738103756571</c:v>
                </c:pt>
                <c:pt idx="5">
                  <c:v>-1.0562803571918522</c:v>
                </c:pt>
                <c:pt idx="6">
                  <c:v>-1.2635172861923394</c:v>
                </c:pt>
                <c:pt idx="7">
                  <c:v>-1.4694209010066572</c:v>
                </c:pt>
                <c:pt idx="8">
                  <c:v>-1.6739939248147095</c:v>
                </c:pt>
                <c:pt idx="9">
                  <c:v>-1.8772390710690701</c:v>
                </c:pt>
                <c:pt idx="10">
                  <c:v>-2.0791590435287333</c:v>
                </c:pt>
                <c:pt idx="11">
                  <c:v>-2.279756536337274</c:v>
                </c:pt>
                <c:pt idx="12">
                  <c:v>-2.4790342340388349</c:v>
                </c:pt>
                <c:pt idx="13">
                  <c:v>-2.6769948116687203</c:v>
                </c:pt>
                <c:pt idx="14">
                  <c:v>-2.8736409347747127</c:v>
                </c:pt>
                <c:pt idx="15">
                  <c:v>-3.0689752594810216</c:v>
                </c:pt>
                <c:pt idx="16">
                  <c:v>-3.2630004325344686</c:v>
                </c:pt>
                <c:pt idx="17">
                  <c:v>-3.4557190913524494</c:v>
                </c:pt>
                <c:pt idx="18">
                  <c:v>-3.6471338640726714</c:v>
                </c:pt>
                <c:pt idx="19">
                  <c:v>-3.837247369608221</c:v>
                </c:pt>
                <c:pt idx="20">
                  <c:v>-4.0260622176866434</c:v>
                </c:pt>
                <c:pt idx="21">
                  <c:v>-4.2135810089032333</c:v>
                </c:pt>
                <c:pt idx="22">
                  <c:v>-4.3998063347761018</c:v>
                </c:pt>
                <c:pt idx="23">
                  <c:v>-4.5847407777674931</c:v>
                </c:pt>
                <c:pt idx="24">
                  <c:v>-4.7683869113654964</c:v>
                </c:pt>
                <c:pt idx="25">
                  <c:v>-4.9507473001177971</c:v>
                </c:pt>
                <c:pt idx="26">
                  <c:v>-5.1318244996600981</c:v>
                </c:pt>
                <c:pt idx="27">
                  <c:v>-5.311621056788951</c:v>
                </c:pt>
                <c:pt idx="28">
                  <c:v>-5.4901395094866245</c:v>
                </c:pt>
                <c:pt idx="29">
                  <c:v>-5.6673823869886064</c:v>
                </c:pt>
                <c:pt idx="30">
                  <c:v>-5.8433522098049195</c:v>
                </c:pt>
                <c:pt idx="31">
                  <c:v>-6.0180514897858473</c:v>
                </c:pt>
                <c:pt idx="32">
                  <c:v>-6.1914827301432496</c:v>
                </c:pt>
                <c:pt idx="33">
                  <c:v>-6.363648425534052</c:v>
                </c:pt>
                <c:pt idx="34">
                  <c:v>-6.53455106205314</c:v>
                </c:pt>
                <c:pt idx="35">
                  <c:v>-6.7041931173150715</c:v>
                </c:pt>
                <c:pt idx="36">
                  <c:v>-6.8725770604931569</c:v>
                </c:pt>
                <c:pt idx="37">
                  <c:v>-7.0397053523318931</c:v>
                </c:pt>
                <c:pt idx="38">
                  <c:v>-7.205580445241111</c:v>
                </c:pt>
                <c:pt idx="39">
                  <c:v>-7.3702047832924222</c:v>
                </c:pt>
                <c:pt idx="40">
                  <c:v>-7.5335808022796158</c:v>
                </c:pt>
                <c:pt idx="41">
                  <c:v>-7.6957109297719484</c:v>
                </c:pt>
                <c:pt idx="42">
                  <c:v>-7.8565975851354608</c:v>
                </c:pt>
                <c:pt idx="43">
                  <c:v>-8.016243179582716</c:v>
                </c:pt>
                <c:pt idx="44">
                  <c:v>-8.1746501162243135</c:v>
                </c:pt>
                <c:pt idx="45">
                  <c:v>-8.3318207900813235</c:v>
                </c:pt>
                <c:pt idx="46">
                  <c:v>-8.4877575881669998</c:v>
                </c:pt>
                <c:pt idx="47">
                  <c:v>-8.6424628894921085</c:v>
                </c:pt>
                <c:pt idx="48">
                  <c:v>-8.7959390651146663</c:v>
                </c:pt>
                <c:pt idx="49">
                  <c:v>-8.9481884781914545</c:v>
                </c:pt>
                <c:pt idx="50">
                  <c:v>-9.0992134840046646</c:v>
                </c:pt>
                <c:pt idx="51">
                  <c:v>-9.2490164300063071</c:v>
                </c:pt>
                <c:pt idx="52">
                  <c:v>-9.3975996558501862</c:v>
                </c:pt>
                <c:pt idx="53">
                  <c:v>-9.5449654934469663</c:v>
                </c:pt>
                <c:pt idx="54">
                  <c:v>-9.6911162669801598</c:v>
                </c:pt>
                <c:pt idx="55">
                  <c:v>-9.8360542929700756</c:v>
                </c:pt>
                <c:pt idx="56">
                  <c:v>-9.9797818802862537</c:v>
                </c:pt>
                <c:pt idx="57">
                  <c:v>-10.122301330200756</c:v>
                </c:pt>
                <c:pt idx="58">
                  <c:v>-10.263614936425469</c:v>
                </c:pt>
                <c:pt idx="59">
                  <c:v>-10.403724985142304</c:v>
                </c:pt>
                <c:pt idx="60">
                  <c:v>-10.54263375504938</c:v>
                </c:pt>
                <c:pt idx="61">
                  <c:v>-10.680343517378788</c:v>
                </c:pt>
                <c:pt idx="62">
                  <c:v>-10.816856535962316</c:v>
                </c:pt>
                <c:pt idx="63">
                  <c:v>-10.95217506723678</c:v>
                </c:pt>
                <c:pt idx="64">
                  <c:v>-11.086301360307971</c:v>
                </c:pt>
                <c:pt idx="65">
                  <c:v>-11.219237656966641</c:v>
                </c:pt>
                <c:pt idx="66">
                  <c:v>-11.350986191738244</c:v>
                </c:pt>
                <c:pt idx="67">
                  <c:v>-11.481549191893592</c:v>
                </c:pt>
                <c:pt idx="68">
                  <c:v>-11.610928877518134</c:v>
                </c:pt>
                <c:pt idx="69">
                  <c:v>-11.739127461531496</c:v>
                </c:pt>
                <c:pt idx="70">
                  <c:v>-11.866147149701689</c:v>
                </c:pt>
                <c:pt idx="71">
                  <c:v>-11.991990140726827</c:v>
                </c:pt>
                <c:pt idx="72">
                  <c:v>-12.1166586262067</c:v>
                </c:pt>
                <c:pt idx="73">
                  <c:v>-12.240154790744029</c:v>
                </c:pt>
                <c:pt idx="74">
                  <c:v>-12.362480811924925</c:v>
                </c:pt>
                <c:pt idx="75">
                  <c:v>-12.483638860379287</c:v>
                </c:pt>
                <c:pt idx="76">
                  <c:v>-12.603631099805668</c:v>
                </c:pt>
                <c:pt idx="77">
                  <c:v>-12.72245968700858</c:v>
                </c:pt>
                <c:pt idx="78">
                  <c:v>-12.840126771930471</c:v>
                </c:pt>
                <c:pt idx="79">
                  <c:v>-12.956634497678365</c:v>
                </c:pt>
                <c:pt idx="80">
                  <c:v>-13.071985000570052</c:v>
                </c:pt>
                <c:pt idx="81">
                  <c:v>-13.186180410135862</c:v>
                </c:pt>
                <c:pt idx="82">
                  <c:v>-13.299222849209258</c:v>
                </c:pt>
                <c:pt idx="83">
                  <c:v>-13.411114433889537</c:v>
                </c:pt>
                <c:pt idx="84">
                  <c:v>-13.521857273616433</c:v>
                </c:pt>
                <c:pt idx="85">
                  <c:v>-13.631453471189658</c:v>
                </c:pt>
                <c:pt idx="86">
                  <c:v>-13.739905122811535</c:v>
                </c:pt>
                <c:pt idx="87">
                  <c:v>-13.847214318099432</c:v>
                </c:pt>
                <c:pt idx="88">
                  <c:v>-13.953383140117737</c:v>
                </c:pt>
                <c:pt idx="89">
                  <c:v>-14.058413665432923</c:v>
                </c:pt>
                <c:pt idx="90">
                  <c:v>-14.162307964111776</c:v>
                </c:pt>
                <c:pt idx="91">
                  <c:v>-14.265068099780009</c:v>
                </c:pt>
                <c:pt idx="92">
                  <c:v>-14.366696129634704</c:v>
                </c:pt>
                <c:pt idx="93">
                  <c:v>-14.46719410447983</c:v>
                </c:pt>
                <c:pt idx="94">
                  <c:v>-14.566564068745791</c:v>
                </c:pt>
                <c:pt idx="95">
                  <c:v>-14.664808060542711</c:v>
                </c:pt>
                <c:pt idx="96">
                  <c:v>-14.76192811166932</c:v>
                </c:pt>
                <c:pt idx="97">
                  <c:v>-14.857926247653808</c:v>
                </c:pt>
                <c:pt idx="98">
                  <c:v>-14.952804487766258</c:v>
                </c:pt>
                <c:pt idx="99">
                  <c:v>-15.046564845071941</c:v>
                </c:pt>
                <c:pt idx="100">
                  <c:v>-15.13920932643309</c:v>
                </c:pt>
                <c:pt idx="101">
                  <c:v>-15.230739932563964</c:v>
                </c:pt>
                <c:pt idx="102">
                  <c:v>-15.321158658039735</c:v>
                </c:pt>
                <c:pt idx="103">
                  <c:v>-15.41046749133379</c:v>
                </c:pt>
                <c:pt idx="104">
                  <c:v>-15.498668414842598</c:v>
                </c:pt>
                <c:pt idx="105">
                  <c:v>-15.585763404912356</c:v>
                </c:pt>
                <c:pt idx="106">
                  <c:v>-15.671754431870966</c:v>
                </c:pt>
                <c:pt idx="107">
                  <c:v>-15.756643460054676</c:v>
                </c:pt>
                <c:pt idx="108">
                  <c:v>-15.840432447824071</c:v>
                </c:pt>
                <c:pt idx="109">
                  <c:v>-15.923123347612034</c:v>
                </c:pt>
                <c:pt idx="110">
                  <c:v>-16.004718105937954</c:v>
                </c:pt>
                <c:pt idx="111">
                  <c:v>-16.08521866342727</c:v>
                </c:pt>
                <c:pt idx="112">
                  <c:v>-16.164626954855876</c:v>
                </c:pt>
                <c:pt idx="113">
                  <c:v>-16.242944909166113</c:v>
                </c:pt>
                <c:pt idx="114">
                  <c:v>-16.320174449493408</c:v>
                </c:pt>
                <c:pt idx="115">
                  <c:v>-16.396317493192925</c:v>
                </c:pt>
                <c:pt idx="116">
                  <c:v>-16.471375951864431</c:v>
                </c:pt>
                <c:pt idx="117">
                  <c:v>-16.545351731386049</c:v>
                </c:pt>
                <c:pt idx="118">
                  <c:v>-16.618246731933795</c:v>
                </c:pt>
                <c:pt idx="119">
                  <c:v>-16.690062848001119</c:v>
                </c:pt>
                <c:pt idx="120">
                  <c:v>-16.760801968429107</c:v>
                </c:pt>
                <c:pt idx="121">
                  <c:v>-16.830465976441999</c:v>
                </c:pt>
                <c:pt idx="122">
                  <c:v>-16.899056749659636</c:v>
                </c:pt>
                <c:pt idx="123">
                  <c:v>-16.966576160120539</c:v>
                </c:pt>
                <c:pt idx="124">
                  <c:v>-17.033026074329882</c:v>
                </c:pt>
                <c:pt idx="125">
                  <c:v>-17.098408353241723</c:v>
                </c:pt>
                <c:pt idx="126">
                  <c:v>-17.162724852328282</c:v>
                </c:pt>
                <c:pt idx="127">
                  <c:v>-17.225977421569283</c:v>
                </c:pt>
                <c:pt idx="128">
                  <c:v>-17.2881679055088</c:v>
                </c:pt>
                <c:pt idx="129">
                  <c:v>-17.349298143248149</c:v>
                </c:pt>
                <c:pt idx="130">
                  <c:v>-17.409369968484967</c:v>
                </c:pt>
                <c:pt idx="131">
                  <c:v>-17.468385209538084</c:v>
                </c:pt>
                <c:pt idx="132">
                  <c:v>-17.526345689375944</c:v>
                </c:pt>
                <c:pt idx="133">
                  <c:v>-17.583253225616602</c:v>
                </c:pt>
                <c:pt idx="134">
                  <c:v>-17.639109630577465</c:v>
                </c:pt>
                <c:pt idx="135">
                  <c:v>-17.693916711294833</c:v>
                </c:pt>
                <c:pt idx="136">
                  <c:v>-17.747676269522117</c:v>
                </c:pt>
                <c:pt idx="137">
                  <c:v>-17.800390101793795</c:v>
                </c:pt>
                <c:pt idx="138">
                  <c:v>-17.852059999405867</c:v>
                </c:pt>
                <c:pt idx="139">
                  <c:v>-17.902687748469148</c:v>
                </c:pt>
                <c:pt idx="140">
                  <c:v>-17.952275129918149</c:v>
                </c:pt>
                <c:pt idx="141">
                  <c:v>-18.000823919541276</c:v>
                </c:pt>
                <c:pt idx="142">
                  <c:v>-18.048335887986156</c:v>
                </c:pt>
                <c:pt idx="143">
                  <c:v>-18.094812800807603</c:v>
                </c:pt>
                <c:pt idx="144">
                  <c:v>-18.140256418462286</c:v>
                </c:pt>
                <c:pt idx="145">
                  <c:v>-18.184668496362022</c:v>
                </c:pt>
                <c:pt idx="146">
                  <c:v>-18.228050784871996</c:v>
                </c:pt>
                <c:pt idx="147">
                  <c:v>-18.270405029321424</c:v>
                </c:pt>
                <c:pt idx="148">
                  <c:v>-18.311732970062167</c:v>
                </c:pt>
                <c:pt idx="149">
                  <c:v>-18.352036342465183</c:v>
                </c:pt>
                <c:pt idx="150">
                  <c:v>-18.391316876945396</c:v>
                </c:pt>
                <c:pt idx="151">
                  <c:v>-18.429576298984784</c:v>
                </c:pt>
                <c:pt idx="152">
                  <c:v>-18.466816329146596</c:v>
                </c:pt>
                <c:pt idx="153">
                  <c:v>-18.503038683114426</c:v>
                </c:pt>
                <c:pt idx="154">
                  <c:v>-18.538245071693993</c:v>
                </c:pt>
                <c:pt idx="155">
                  <c:v>-18.57243720083801</c:v>
                </c:pt>
                <c:pt idx="156">
                  <c:v>-18.605616771679934</c:v>
                </c:pt>
                <c:pt idx="157">
                  <c:v>-18.637785480539293</c:v>
                </c:pt>
                <c:pt idx="158">
                  <c:v>-18.668945018943006</c:v>
                </c:pt>
                <c:pt idx="159">
                  <c:v>-18.699097073653803</c:v>
                </c:pt>
                <c:pt idx="160">
                  <c:v>-18.728243326687988</c:v>
                </c:pt>
                <c:pt idx="161">
                  <c:v>-18.756385455329649</c:v>
                </c:pt>
                <c:pt idx="162">
                  <c:v>-18.783525132159085</c:v>
                </c:pt>
                <c:pt idx="163">
                  <c:v>-18.809664025065231</c:v>
                </c:pt>
                <c:pt idx="164">
                  <c:v>-18.834803797270538</c:v>
                </c:pt>
                <c:pt idx="165">
                  <c:v>-18.858946107341623</c:v>
                </c:pt>
                <c:pt idx="166">
                  <c:v>-18.882092609226575</c:v>
                </c:pt>
                <c:pt idx="167">
                  <c:v>-18.904244952260285</c:v>
                </c:pt>
                <c:pt idx="168">
                  <c:v>-18.92540478117688</c:v>
                </c:pt>
                <c:pt idx="169">
                  <c:v>-18.945573736145249</c:v>
                </c:pt>
                <c:pt idx="170">
                  <c:v>-18.964753452786809</c:v>
                </c:pt>
                <c:pt idx="171">
                  <c:v>-18.982945562184383</c:v>
                </c:pt>
                <c:pt idx="172">
                  <c:v>-19.000151690903522</c:v>
                </c:pt>
                <c:pt idx="173">
                  <c:v>-19.016373461008484</c:v>
                </c:pt>
                <c:pt idx="174">
                  <c:v>-19.031612490104877</c:v>
                </c:pt>
                <c:pt idx="175">
                  <c:v>-19.045870391320108</c:v>
                </c:pt>
                <c:pt idx="176">
                  <c:v>-19.059148773351353</c:v>
                </c:pt>
                <c:pt idx="177">
                  <c:v>-19.071449240462002</c:v>
                </c:pt>
                <c:pt idx="178">
                  <c:v>-19.082773392524288</c:v>
                </c:pt>
                <c:pt idx="179">
                  <c:v>-19.093122825021069</c:v>
                </c:pt>
                <c:pt idx="180">
                  <c:v>-19.102499129056483</c:v>
                </c:pt>
                <c:pt idx="181">
                  <c:v>-19.110903891400355</c:v>
                </c:pt>
                <c:pt idx="182">
                  <c:v>-19.118338694475767</c:v>
                </c:pt>
                <c:pt idx="183">
                  <c:v>-19.124805116405241</c:v>
                </c:pt>
                <c:pt idx="184">
                  <c:v>-19.130304730998304</c:v>
                </c:pt>
                <c:pt idx="185">
                  <c:v>-19.134839107794122</c:v>
                </c:pt>
                <c:pt idx="186">
                  <c:v>-19.138409812077484</c:v>
                </c:pt>
                <c:pt idx="187">
                  <c:v>-19.141018404871701</c:v>
                </c:pt>
                <c:pt idx="188">
                  <c:v>-19.142666442983014</c:v>
                </c:pt>
                <c:pt idx="189">
                  <c:v>-19.143355479004143</c:v>
                </c:pt>
                <c:pt idx="190">
                  <c:v>-19.143087061335606</c:v>
                </c:pt>
                <c:pt idx="191">
                  <c:v>-19.14186273419638</c:v>
                </c:pt>
                <c:pt idx="192">
                  <c:v>-19.139684037662974</c:v>
                </c:pt>
                <c:pt idx="193">
                  <c:v>-19.13655250764279</c:v>
                </c:pt>
                <c:pt idx="194">
                  <c:v>-19.13246967593274</c:v>
                </c:pt>
                <c:pt idx="195">
                  <c:v>-19.127437070229902</c:v>
                </c:pt>
                <c:pt idx="196">
                  <c:v>-19.121456214120869</c:v>
                </c:pt>
                <c:pt idx="197">
                  <c:v>-19.114528627122596</c:v>
                </c:pt>
                <c:pt idx="198">
                  <c:v>-19.106655824685959</c:v>
                </c:pt>
                <c:pt idx="199">
                  <c:v>-19.09783931823128</c:v>
                </c:pt>
                <c:pt idx="200">
                  <c:v>-19.088080615141223</c:v>
                </c:pt>
                <c:pt idx="201">
                  <c:v>-19.077381218787437</c:v>
                </c:pt>
                <c:pt idx="202">
                  <c:v>-19.065742628544768</c:v>
                </c:pt>
                <c:pt idx="203">
                  <c:v>-19.053166339819683</c:v>
                </c:pt>
                <c:pt idx="204">
                  <c:v>-19.039653844041382</c:v>
                </c:pt>
                <c:pt idx="205">
                  <c:v>-19.025206628690228</c:v>
                </c:pt>
                <c:pt idx="206">
                  <c:v>-19.009826177329714</c:v>
                </c:pt>
                <c:pt idx="207">
                  <c:v>-18.993513969586928</c:v>
                </c:pt>
                <c:pt idx="208">
                  <c:v>-18.976271481198737</c:v>
                </c:pt>
                <c:pt idx="209">
                  <c:v>-18.958100184017113</c:v>
                </c:pt>
                <c:pt idx="210">
                  <c:v>-18.939001546019796</c:v>
                </c:pt>
                <c:pt idx="211">
                  <c:v>-18.918977031326278</c:v>
                </c:pt>
                <c:pt idx="212">
                  <c:v>-18.898028100219122</c:v>
                </c:pt>
                <c:pt idx="213">
                  <c:v>-18.876156209159944</c:v>
                </c:pt>
                <c:pt idx="214">
                  <c:v>-18.853362810792973</c:v>
                </c:pt>
                <c:pt idx="215">
                  <c:v>-18.829649353964584</c:v>
                </c:pt>
                <c:pt idx="216">
                  <c:v>-18.805017283755276</c:v>
                </c:pt>
                <c:pt idx="217">
                  <c:v>-18.779468041461911</c:v>
                </c:pt>
                <c:pt idx="218">
                  <c:v>-18.753003064643892</c:v>
                </c:pt>
                <c:pt idx="219">
                  <c:v>-18.725623787119616</c:v>
                </c:pt>
                <c:pt idx="220">
                  <c:v>-18.697331638987791</c:v>
                </c:pt>
                <c:pt idx="221">
                  <c:v>-18.66812804662743</c:v>
                </c:pt>
                <c:pt idx="222">
                  <c:v>-18.63801443274582</c:v>
                </c:pt>
                <c:pt idx="223">
                  <c:v>-18.606992216355422</c:v>
                </c:pt>
                <c:pt idx="224">
                  <c:v>-18.575062812812959</c:v>
                </c:pt>
                <c:pt idx="225">
                  <c:v>-18.542227633819408</c:v>
                </c:pt>
                <c:pt idx="226">
                  <c:v>-18.508488087439545</c:v>
                </c:pt>
                <c:pt idx="227">
                  <c:v>-18.473845578121484</c:v>
                </c:pt>
                <c:pt idx="228">
                  <c:v>-18.438301506705557</c:v>
                </c:pt>
                <c:pt idx="229">
                  <c:v>-18.401857270426092</c:v>
                </c:pt>
                <c:pt idx="230">
                  <c:v>-18.364514262957599</c:v>
                </c:pt>
                <c:pt idx="231">
                  <c:v>-18.326273874386345</c:v>
                </c:pt>
                <c:pt idx="232">
                  <c:v>-18.287137491258321</c:v>
                </c:pt>
                <c:pt idx="233">
                  <c:v>-18.247106496577459</c:v>
                </c:pt>
                <c:pt idx="234">
                  <c:v>-18.206182269819848</c:v>
                </c:pt>
                <c:pt idx="235">
                  <c:v>-18.164366186958603</c:v>
                </c:pt>
                <c:pt idx="236">
                  <c:v>-18.121659620451425</c:v>
                </c:pt>
                <c:pt idx="237">
                  <c:v>-18.07806393928324</c:v>
                </c:pt>
                <c:pt idx="238">
                  <c:v>-18.033580508960867</c:v>
                </c:pt>
                <c:pt idx="239">
                  <c:v>-17.988210691539663</c:v>
                </c:pt>
                <c:pt idx="240">
                  <c:v>-17.941955845619972</c:v>
                </c:pt>
                <c:pt idx="241">
                  <c:v>-17.894817326361334</c:v>
                </c:pt>
                <c:pt idx="242">
                  <c:v>-17.846796485532224</c:v>
                </c:pt>
                <c:pt idx="243">
                  <c:v>-17.797894671465642</c:v>
                </c:pt>
                <c:pt idx="244">
                  <c:v>-17.748113229114182</c:v>
                </c:pt>
                <c:pt idx="245">
                  <c:v>-17.697453500044702</c:v>
                </c:pt>
                <c:pt idx="246">
                  <c:v>-17.645916822456087</c:v>
                </c:pt>
                <c:pt idx="247">
                  <c:v>-17.593504531197013</c:v>
                </c:pt>
                <c:pt idx="248">
                  <c:v>-17.540217957757065</c:v>
                </c:pt>
                <c:pt idx="249">
                  <c:v>-17.486058430314699</c:v>
                </c:pt>
                <c:pt idx="250">
                  <c:v>-17.431027273719479</c:v>
                </c:pt>
                <c:pt idx="251">
                  <c:v>-17.375125809515168</c:v>
                </c:pt>
                <c:pt idx="252">
                  <c:v>-17.318355355948611</c:v>
                </c:pt>
                <c:pt idx="253">
                  <c:v>-17.260717227992828</c:v>
                </c:pt>
                <c:pt idx="254">
                  <c:v>-17.202212737355893</c:v>
                </c:pt>
                <c:pt idx="255">
                  <c:v>-17.142843192473833</c:v>
                </c:pt>
                <c:pt idx="256">
                  <c:v>-17.082609898549705</c:v>
                </c:pt>
                <c:pt idx="257">
                  <c:v>-17.021514157550044</c:v>
                </c:pt>
                <c:pt idx="258">
                  <c:v>-16.959557268224401</c:v>
                </c:pt>
                <c:pt idx="259">
                  <c:v>-16.896740526103571</c:v>
                </c:pt>
                <c:pt idx="260">
                  <c:v>-16.833065223529786</c:v>
                </c:pt>
                <c:pt idx="261">
                  <c:v>-16.768532649663825</c:v>
                </c:pt>
                <c:pt idx="262">
                  <c:v>-16.703144090481459</c:v>
                </c:pt>
                <c:pt idx="263">
                  <c:v>-16.6369008288072</c:v>
                </c:pt>
                <c:pt idx="264">
                  <c:v>-16.569804144308975</c:v>
                </c:pt>
                <c:pt idx="265">
                  <c:v>-16.501855313524771</c:v>
                </c:pt>
                <c:pt idx="266">
                  <c:v>-16.4330556098502</c:v>
                </c:pt>
                <c:pt idx="267">
                  <c:v>-16.363406303591788</c:v>
                </c:pt>
                <c:pt idx="268">
                  <c:v>-16.292908661919014</c:v>
                </c:pt>
                <c:pt idx="269">
                  <c:v>-16.221563948933593</c:v>
                </c:pt>
                <c:pt idx="270">
                  <c:v>-16.149373425646374</c:v>
                </c:pt>
                <c:pt idx="271">
                  <c:v>-16.07633835000577</c:v>
                </c:pt>
                <c:pt idx="272">
                  <c:v>-16.002459976885319</c:v>
                </c:pt>
                <c:pt idx="273">
                  <c:v>-15.927739558128096</c:v>
                </c:pt>
                <c:pt idx="274">
                  <c:v>-15.852178342527168</c:v>
                </c:pt>
                <c:pt idx="275">
                  <c:v>-15.775777575862904</c:v>
                </c:pt>
                <c:pt idx="276">
                  <c:v>-15.698538500894088</c:v>
                </c:pt>
                <c:pt idx="277">
                  <c:v>-15.620462357372134</c:v>
                </c:pt>
                <c:pt idx="278">
                  <c:v>-15.541550382071279</c:v>
                </c:pt>
                <c:pt idx="279">
                  <c:v>-15.461803808754837</c:v>
                </c:pt>
                <c:pt idx="280">
                  <c:v>-15.381223868242699</c:v>
                </c:pt>
                <c:pt idx="281">
                  <c:v>-15.299811788386464</c:v>
                </c:pt>
                <c:pt idx="282">
                  <c:v>-15.21756879408187</c:v>
                </c:pt>
                <c:pt idx="283">
                  <c:v>-15.134496107293671</c:v>
                </c:pt>
                <c:pt idx="284">
                  <c:v>-15.050594947046747</c:v>
                </c:pt>
                <c:pt idx="285">
                  <c:v>-14.965866529458083</c:v>
                </c:pt>
                <c:pt idx="286">
                  <c:v>-14.880312067733215</c:v>
                </c:pt>
                <c:pt idx="287">
                  <c:v>-14.793932772183993</c:v>
                </c:pt>
                <c:pt idx="288">
                  <c:v>-14.70672985023036</c:v>
                </c:pt>
                <c:pt idx="289">
                  <c:v>-14.618704506419888</c:v>
                </c:pt>
                <c:pt idx="290">
                  <c:v>-14.529857942431335</c:v>
                </c:pt>
                <c:pt idx="291">
                  <c:v>-14.440191357085297</c:v>
                </c:pt>
                <c:pt idx="292">
                  <c:v>-14.349705946363756</c:v>
                </c:pt>
                <c:pt idx="293">
                  <c:v>-14.258402903410072</c:v>
                </c:pt>
                <c:pt idx="294">
                  <c:v>-14.166283418528991</c:v>
                </c:pt>
                <c:pt idx="295">
                  <c:v>-14.073348679234599</c:v>
                </c:pt>
                <c:pt idx="296">
                  <c:v>-13.979599870209469</c:v>
                </c:pt>
                <c:pt idx="297">
                  <c:v>-13.885038173366837</c:v>
                </c:pt>
                <c:pt idx="298">
                  <c:v>-13.789664767807963</c:v>
                </c:pt>
                <c:pt idx="299">
                  <c:v>-13.693480829877203</c:v>
                </c:pt>
                <c:pt idx="300">
                  <c:v>-13.596487533142465</c:v>
                </c:pt>
                <c:pt idx="301">
                  <c:v>-13.498686048420083</c:v>
                </c:pt>
                <c:pt idx="302">
                  <c:v>-13.40007754377659</c:v>
                </c:pt>
                <c:pt idx="303">
                  <c:v>-13.300663184544703</c:v>
                </c:pt>
                <c:pt idx="304">
                  <c:v>-13.20044413332333</c:v>
                </c:pt>
                <c:pt idx="305">
                  <c:v>-13.099421550004209</c:v>
                </c:pt>
                <c:pt idx="306">
                  <c:v>-12.997596591757699</c:v>
                </c:pt>
                <c:pt idx="307">
                  <c:v>-12.894970413068307</c:v>
                </c:pt>
                <c:pt idx="308">
                  <c:v>-12.791544165716928</c:v>
                </c:pt>
                <c:pt idx="309">
                  <c:v>-12.687318998816366</c:v>
                </c:pt>
                <c:pt idx="310">
                  <c:v>-12.582296058806008</c:v>
                </c:pt>
                <c:pt idx="311">
                  <c:v>-12.476476489458932</c:v>
                </c:pt>
                <c:pt idx="312">
                  <c:v>-12.369861431897888</c:v>
                </c:pt>
                <c:pt idx="313">
                  <c:v>-12.262452024609516</c:v>
                </c:pt>
                <c:pt idx="314">
                  <c:v>-12.154249403435458</c:v>
                </c:pt>
                <c:pt idx="315">
                  <c:v>-12.045254701602559</c:v>
                </c:pt>
                <c:pt idx="316">
                  <c:v>-11.935469049710434</c:v>
                </c:pt>
                <c:pt idx="317">
                  <c:v>-11.824893575766993</c:v>
                </c:pt>
                <c:pt idx="318">
                  <c:v>-11.713529405168899</c:v>
                </c:pt>
                <c:pt idx="319">
                  <c:v>-11.601377660729995</c:v>
                </c:pt>
                <c:pt idx="320">
                  <c:v>-11.488439462693734</c:v>
                </c:pt>
                <c:pt idx="321">
                  <c:v>-11.374715928713641</c:v>
                </c:pt>
                <c:pt idx="322">
                  <c:v>-11.260208173897723</c:v>
                </c:pt>
                <c:pt idx="323">
                  <c:v>-11.14491731078715</c:v>
                </c:pt>
                <c:pt idx="324">
                  <c:v>-11.028844449390007</c:v>
                </c:pt>
                <c:pt idx="325">
                  <c:v>-10.911990697179519</c:v>
                </c:pt>
                <c:pt idx="326">
                  <c:v>-10.794357159085166</c:v>
                </c:pt>
                <c:pt idx="327">
                  <c:v>-10.675944937542425</c:v>
                </c:pt>
                <c:pt idx="328">
                  <c:v>-10.556755132455464</c:v>
                </c:pt>
                <c:pt idx="329">
                  <c:v>-10.436788841245104</c:v>
                </c:pt>
                <c:pt idx="330">
                  <c:v>-10.316047158813291</c:v>
                </c:pt>
                <c:pt idx="331">
                  <c:v>-10.194531177615929</c:v>
                </c:pt>
                <c:pt idx="332">
                  <c:v>-10.072241987597153</c:v>
                </c:pt>
                <c:pt idx="333">
                  <c:v>-9.9491806762568302</c:v>
                </c:pt>
                <c:pt idx="334">
                  <c:v>-9.8253483286274701</c:v>
                </c:pt>
                <c:pt idx="335">
                  <c:v>-9.7007460272884316</c:v>
                </c:pt>
                <c:pt idx="336">
                  <c:v>-9.5753748523801363</c:v>
                </c:pt>
                <c:pt idx="337">
                  <c:v>-9.4492358816058442</c:v>
                </c:pt>
                <c:pt idx="338">
                  <c:v>-9.3223301902494171</c:v>
                </c:pt>
                <c:pt idx="339">
                  <c:v>-9.1946588511753191</c:v>
                </c:pt>
                <c:pt idx="340">
                  <c:v>-9.0662229348339451</c:v>
                </c:pt>
                <c:pt idx="341">
                  <c:v>-8.9370235092687267</c:v>
                </c:pt>
                <c:pt idx="342">
                  <c:v>-8.8070616401498825</c:v>
                </c:pt>
                <c:pt idx="343">
                  <c:v>-8.6763383907424441</c:v>
                </c:pt>
                <c:pt idx="344">
                  <c:v>-8.5448548219435594</c:v>
                </c:pt>
                <c:pt idx="345">
                  <c:v>-8.4126119922771636</c:v>
                </c:pt>
                <c:pt idx="346">
                  <c:v>-8.2796109579117427</c:v>
                </c:pt>
                <c:pt idx="347">
                  <c:v>-8.1458527726550045</c:v>
                </c:pt>
                <c:pt idx="348">
                  <c:v>-8.011338487966313</c:v>
                </c:pt>
                <c:pt idx="349">
                  <c:v>-7.8760691529904392</c:v>
                </c:pt>
                <c:pt idx="350">
                  <c:v>-7.7400458145060469</c:v>
                </c:pt>
                <c:pt idx="351">
                  <c:v>-7.6032695169931941</c:v>
                </c:pt>
                <c:pt idx="352">
                  <c:v>-7.4657413026120167</c:v>
                </c:pt>
                <c:pt idx="353">
                  <c:v>-7.3274622112240451</c:v>
                </c:pt>
                <c:pt idx="354">
                  <c:v>-7.18843328037444</c:v>
                </c:pt>
                <c:pt idx="355">
                  <c:v>-7.048655545316862</c:v>
                </c:pt>
                <c:pt idx="356">
                  <c:v>-6.9081300390507749</c:v>
                </c:pt>
                <c:pt idx="357">
                  <c:v>-6.7668577922646023</c:v>
                </c:pt>
                <c:pt idx="358">
                  <c:v>-6.6248398333925707</c:v>
                </c:pt>
                <c:pt idx="359">
                  <c:v>-6.4820771886111572</c:v>
                </c:pt>
                <c:pt idx="360">
                  <c:v>-6.3385708818284314</c:v>
                </c:pt>
                <c:pt idx="361">
                  <c:v>-6.1943219347178058</c:v>
                </c:pt>
                <c:pt idx="362">
                  <c:v>-6.0493313667127069</c:v>
                </c:pt>
                <c:pt idx="363">
                  <c:v>-5.9036001950136807</c:v>
                </c:pt>
                <c:pt idx="364">
                  <c:v>-5.7571294345972746</c:v>
                </c:pt>
                <c:pt idx="365">
                  <c:v>-5.6099200982089314</c:v>
                </c:pt>
                <c:pt idx="366">
                  <c:v>-5.4619731964056228</c:v>
                </c:pt>
                <c:pt idx="367">
                  <c:v>-5.3132897375309796</c:v>
                </c:pt>
                <c:pt idx="368">
                  <c:v>-5.1638707277348317</c:v>
                </c:pt>
                <c:pt idx="369">
                  <c:v>-5.0137171709767614</c:v>
                </c:pt>
                <c:pt idx="370">
                  <c:v>-4.8628300690296555</c:v>
                </c:pt>
                <c:pt idx="371">
                  <c:v>-4.7112104215099038</c:v>
                </c:pt>
                <c:pt idx="372">
                  <c:v>-4.5588592258454241</c:v>
                </c:pt>
                <c:pt idx="373">
                  <c:v>-4.4057774773147429</c:v>
                </c:pt>
                <c:pt idx="374">
                  <c:v>-4.2519661690452182</c:v>
                </c:pt>
                <c:pt idx="375">
                  <c:v>-4.0974262920183691</c:v>
                </c:pt>
                <c:pt idx="376">
                  <c:v>-3.9421588350680992</c:v>
                </c:pt>
                <c:pt idx="377">
                  <c:v>-3.786164784902013</c:v>
                </c:pt>
                <c:pt idx="378">
                  <c:v>-3.6294451260996397</c:v>
                </c:pt>
                <c:pt idx="379">
                  <c:v>-3.4720008411337488</c:v>
                </c:pt>
                <c:pt idx="380">
                  <c:v>-3.3138329103419295</c:v>
                </c:pt>
                <c:pt idx="381">
                  <c:v>-3.1549423119869857</c:v>
                </c:pt>
                <c:pt idx="382">
                  <c:v>-2.9953300222000934</c:v>
                </c:pt>
                <c:pt idx="383">
                  <c:v>-2.8349970150465253</c:v>
                </c:pt>
                <c:pt idx="384">
                  <c:v>-2.6739442624972298</c:v>
                </c:pt>
                <c:pt idx="385">
                  <c:v>-2.5121727344554756</c:v>
                </c:pt>
                <c:pt idx="386">
                  <c:v>-2.3496833987337595</c:v>
                </c:pt>
                <c:pt idx="387">
                  <c:v>-2.1864772210893335</c:v>
                </c:pt>
                <c:pt idx="388">
                  <c:v>-2.022555165225981</c:v>
                </c:pt>
                <c:pt idx="389">
                  <c:v>-1.8579181927975696</c:v>
                </c:pt>
                <c:pt idx="390">
                  <c:v>-1.6925672634027222</c:v>
                </c:pt>
                <c:pt idx="391">
                  <c:v>-1.5265033346043566</c:v>
                </c:pt>
                <c:pt idx="392">
                  <c:v>-1.3597273619456729</c:v>
                </c:pt>
                <c:pt idx="393">
                  <c:v>-1.1922402989252845</c:v>
                </c:pt>
                <c:pt idx="394">
                  <c:v>-1.0240430970309689</c:v>
                </c:pt>
                <c:pt idx="395">
                  <c:v>-0.85513670575032563</c:v>
                </c:pt>
                <c:pt idx="396">
                  <c:v>-0.68552207253880226</c:v>
                </c:pt>
                <c:pt idx="397">
                  <c:v>-0.51520014287653737</c:v>
                </c:pt>
                <c:pt idx="398">
                  <c:v>-0.34417186024171542</c:v>
                </c:pt>
                <c:pt idx="399">
                  <c:v>-0.17243816611411944</c:v>
                </c:pt>
                <c:pt idx="400">
                  <c:v>-5.3290705182007514E-12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95-4E02-805F-2557AB9EC66B}"/>
            </c:ext>
          </c:extLst>
        </c:ser>
        <c:ser>
          <c:idx val="0"/>
          <c:order val="1"/>
          <c:tx>
            <c:v>Ideal shape</c:v>
          </c:tx>
          <c:marker>
            <c:symbol val="none"/>
          </c:marker>
          <c:xVal>
            <c:numRef>
              <c:f>CALCULATIONS!$C$30:$C$430</c:f>
              <c:numCache>
                <c:formatCode>General</c:formatCode>
                <c:ptCount val="401"/>
                <c:pt idx="0">
                  <c:v>-138</c:v>
                </c:pt>
                <c:pt idx="1">
                  <c:v>-137.31</c:v>
                </c:pt>
                <c:pt idx="2">
                  <c:v>-136.62</c:v>
                </c:pt>
                <c:pt idx="3">
                  <c:v>-135.93</c:v>
                </c:pt>
                <c:pt idx="4">
                  <c:v>-135.24</c:v>
                </c:pt>
                <c:pt idx="5">
                  <c:v>-134.55000000000001</c:v>
                </c:pt>
                <c:pt idx="6">
                  <c:v>-133.86000000000001</c:v>
                </c:pt>
                <c:pt idx="7">
                  <c:v>-133.17000000000002</c:v>
                </c:pt>
                <c:pt idx="8">
                  <c:v>-132.48000000000002</c:v>
                </c:pt>
                <c:pt idx="9">
                  <c:v>-131.79000000000002</c:v>
                </c:pt>
                <c:pt idx="10">
                  <c:v>-131.10000000000002</c:v>
                </c:pt>
                <c:pt idx="11">
                  <c:v>-130.41000000000003</c:v>
                </c:pt>
                <c:pt idx="12">
                  <c:v>-129.72000000000003</c:v>
                </c:pt>
                <c:pt idx="13">
                  <c:v>-129.03000000000003</c:v>
                </c:pt>
                <c:pt idx="14">
                  <c:v>-128.34000000000003</c:v>
                </c:pt>
                <c:pt idx="15">
                  <c:v>-127.65000000000003</c:v>
                </c:pt>
                <c:pt idx="16">
                  <c:v>-126.96000000000004</c:v>
                </c:pt>
                <c:pt idx="17">
                  <c:v>-126.27000000000004</c:v>
                </c:pt>
                <c:pt idx="18">
                  <c:v>-125.58000000000004</c:v>
                </c:pt>
                <c:pt idx="19">
                  <c:v>-124.89000000000004</c:v>
                </c:pt>
                <c:pt idx="20">
                  <c:v>-124.20000000000005</c:v>
                </c:pt>
                <c:pt idx="21">
                  <c:v>-123.51000000000005</c:v>
                </c:pt>
                <c:pt idx="22">
                  <c:v>-122.82000000000005</c:v>
                </c:pt>
                <c:pt idx="23">
                  <c:v>-122.13000000000005</c:v>
                </c:pt>
                <c:pt idx="24">
                  <c:v>-121.44000000000005</c:v>
                </c:pt>
                <c:pt idx="25">
                  <c:v>-120.75000000000006</c:v>
                </c:pt>
                <c:pt idx="26">
                  <c:v>-120.06000000000006</c:v>
                </c:pt>
                <c:pt idx="27">
                  <c:v>-119.37000000000006</c:v>
                </c:pt>
                <c:pt idx="28">
                  <c:v>-118.68000000000006</c:v>
                </c:pt>
                <c:pt idx="29">
                  <c:v>-117.99000000000007</c:v>
                </c:pt>
                <c:pt idx="30">
                  <c:v>-117.30000000000007</c:v>
                </c:pt>
                <c:pt idx="31">
                  <c:v>-116.61000000000007</c:v>
                </c:pt>
                <c:pt idx="32">
                  <c:v>-115.92000000000007</c:v>
                </c:pt>
                <c:pt idx="33">
                  <c:v>-115.23000000000008</c:v>
                </c:pt>
                <c:pt idx="34">
                  <c:v>-114.54000000000008</c:v>
                </c:pt>
                <c:pt idx="35">
                  <c:v>-113.85000000000008</c:v>
                </c:pt>
                <c:pt idx="36">
                  <c:v>-113.16000000000008</c:v>
                </c:pt>
                <c:pt idx="37">
                  <c:v>-112.47000000000008</c:v>
                </c:pt>
                <c:pt idx="38">
                  <c:v>-111.78000000000009</c:v>
                </c:pt>
                <c:pt idx="39">
                  <c:v>-111.09000000000009</c:v>
                </c:pt>
                <c:pt idx="40">
                  <c:v>-110.40000000000009</c:v>
                </c:pt>
                <c:pt idx="41">
                  <c:v>-109.71000000000009</c:v>
                </c:pt>
                <c:pt idx="42">
                  <c:v>-109.0200000000001</c:v>
                </c:pt>
                <c:pt idx="43">
                  <c:v>-108.3300000000001</c:v>
                </c:pt>
                <c:pt idx="44">
                  <c:v>-107.6400000000001</c:v>
                </c:pt>
                <c:pt idx="45">
                  <c:v>-106.9500000000001</c:v>
                </c:pt>
                <c:pt idx="46">
                  <c:v>-106.2600000000001</c:v>
                </c:pt>
                <c:pt idx="47">
                  <c:v>-105.57000000000011</c:v>
                </c:pt>
                <c:pt idx="48">
                  <c:v>-104.88000000000011</c:v>
                </c:pt>
                <c:pt idx="49">
                  <c:v>-104.19000000000011</c:v>
                </c:pt>
                <c:pt idx="50">
                  <c:v>-103.50000000000011</c:v>
                </c:pt>
                <c:pt idx="51">
                  <c:v>-102.81000000000012</c:v>
                </c:pt>
                <c:pt idx="52">
                  <c:v>-102.12000000000012</c:v>
                </c:pt>
                <c:pt idx="53">
                  <c:v>-101.43000000000012</c:v>
                </c:pt>
                <c:pt idx="54">
                  <c:v>-100.74000000000012</c:v>
                </c:pt>
                <c:pt idx="55">
                  <c:v>-100.05000000000013</c:v>
                </c:pt>
                <c:pt idx="56">
                  <c:v>-99.360000000000127</c:v>
                </c:pt>
                <c:pt idx="57">
                  <c:v>-98.67000000000013</c:v>
                </c:pt>
                <c:pt idx="58">
                  <c:v>-97.980000000000132</c:v>
                </c:pt>
                <c:pt idx="59">
                  <c:v>-97.290000000000134</c:v>
                </c:pt>
                <c:pt idx="60">
                  <c:v>-96.600000000000136</c:v>
                </c:pt>
                <c:pt idx="61">
                  <c:v>-95.910000000000139</c:v>
                </c:pt>
                <c:pt idx="62">
                  <c:v>-95.220000000000141</c:v>
                </c:pt>
                <c:pt idx="63">
                  <c:v>-94.530000000000143</c:v>
                </c:pt>
                <c:pt idx="64">
                  <c:v>-93.840000000000146</c:v>
                </c:pt>
                <c:pt idx="65">
                  <c:v>-93.150000000000148</c:v>
                </c:pt>
                <c:pt idx="66">
                  <c:v>-92.46000000000015</c:v>
                </c:pt>
                <c:pt idx="67">
                  <c:v>-91.770000000000152</c:v>
                </c:pt>
                <c:pt idx="68">
                  <c:v>-91.080000000000155</c:v>
                </c:pt>
                <c:pt idx="69">
                  <c:v>-90.390000000000157</c:v>
                </c:pt>
                <c:pt idx="70">
                  <c:v>-89.700000000000159</c:v>
                </c:pt>
                <c:pt idx="71">
                  <c:v>-89.010000000000161</c:v>
                </c:pt>
                <c:pt idx="72">
                  <c:v>-88.320000000000164</c:v>
                </c:pt>
                <c:pt idx="73">
                  <c:v>-87.630000000000166</c:v>
                </c:pt>
                <c:pt idx="74">
                  <c:v>-86.940000000000168</c:v>
                </c:pt>
                <c:pt idx="75">
                  <c:v>-86.250000000000171</c:v>
                </c:pt>
                <c:pt idx="76">
                  <c:v>-85.560000000000173</c:v>
                </c:pt>
                <c:pt idx="77">
                  <c:v>-84.870000000000175</c:v>
                </c:pt>
                <c:pt idx="78">
                  <c:v>-84.180000000000177</c:v>
                </c:pt>
                <c:pt idx="79">
                  <c:v>-83.49000000000018</c:v>
                </c:pt>
                <c:pt idx="80">
                  <c:v>-82.800000000000182</c:v>
                </c:pt>
                <c:pt idx="81">
                  <c:v>-82.110000000000184</c:v>
                </c:pt>
                <c:pt idx="82">
                  <c:v>-81.420000000000186</c:v>
                </c:pt>
                <c:pt idx="83">
                  <c:v>-80.730000000000189</c:v>
                </c:pt>
                <c:pt idx="84">
                  <c:v>-80.040000000000191</c:v>
                </c:pt>
                <c:pt idx="85">
                  <c:v>-79.350000000000193</c:v>
                </c:pt>
                <c:pt idx="86">
                  <c:v>-78.660000000000196</c:v>
                </c:pt>
                <c:pt idx="87">
                  <c:v>-77.970000000000198</c:v>
                </c:pt>
                <c:pt idx="88">
                  <c:v>-77.2800000000002</c:v>
                </c:pt>
                <c:pt idx="89">
                  <c:v>-76.590000000000202</c:v>
                </c:pt>
                <c:pt idx="90">
                  <c:v>-75.900000000000205</c:v>
                </c:pt>
                <c:pt idx="91">
                  <c:v>-75.210000000000207</c:v>
                </c:pt>
                <c:pt idx="92">
                  <c:v>-74.520000000000209</c:v>
                </c:pt>
                <c:pt idx="93">
                  <c:v>-73.830000000000211</c:v>
                </c:pt>
                <c:pt idx="94">
                  <c:v>-73.140000000000214</c:v>
                </c:pt>
                <c:pt idx="95">
                  <c:v>-72.450000000000216</c:v>
                </c:pt>
                <c:pt idx="96">
                  <c:v>-71.760000000000218</c:v>
                </c:pt>
                <c:pt idx="97">
                  <c:v>-71.070000000000221</c:v>
                </c:pt>
                <c:pt idx="98">
                  <c:v>-70.380000000000223</c:v>
                </c:pt>
                <c:pt idx="99">
                  <c:v>-69.690000000000225</c:v>
                </c:pt>
                <c:pt idx="100">
                  <c:v>-69.000000000000227</c:v>
                </c:pt>
                <c:pt idx="101">
                  <c:v>-68.31000000000023</c:v>
                </c:pt>
                <c:pt idx="102">
                  <c:v>-67.620000000000232</c:v>
                </c:pt>
                <c:pt idx="103">
                  <c:v>-66.930000000000234</c:v>
                </c:pt>
                <c:pt idx="104">
                  <c:v>-66.240000000000236</c:v>
                </c:pt>
                <c:pt idx="105">
                  <c:v>-65.550000000000239</c:v>
                </c:pt>
                <c:pt idx="106">
                  <c:v>-64.860000000000241</c:v>
                </c:pt>
                <c:pt idx="107">
                  <c:v>-64.170000000000243</c:v>
                </c:pt>
                <c:pt idx="108">
                  <c:v>-63.480000000000246</c:v>
                </c:pt>
                <c:pt idx="109">
                  <c:v>-62.790000000000248</c:v>
                </c:pt>
                <c:pt idx="110">
                  <c:v>-62.10000000000025</c:v>
                </c:pt>
                <c:pt idx="111">
                  <c:v>-61.410000000000252</c:v>
                </c:pt>
                <c:pt idx="112">
                  <c:v>-60.720000000000255</c:v>
                </c:pt>
                <c:pt idx="113">
                  <c:v>-60.030000000000257</c:v>
                </c:pt>
                <c:pt idx="114">
                  <c:v>-59.340000000000259</c:v>
                </c:pt>
                <c:pt idx="115">
                  <c:v>-58.650000000000261</c:v>
                </c:pt>
                <c:pt idx="116">
                  <c:v>-57.960000000000264</c:v>
                </c:pt>
                <c:pt idx="117">
                  <c:v>-57.270000000000266</c:v>
                </c:pt>
                <c:pt idx="118">
                  <c:v>-56.580000000000268</c:v>
                </c:pt>
                <c:pt idx="119">
                  <c:v>-55.890000000000271</c:v>
                </c:pt>
                <c:pt idx="120">
                  <c:v>-55.200000000000273</c:v>
                </c:pt>
                <c:pt idx="121">
                  <c:v>-54.510000000000275</c:v>
                </c:pt>
                <c:pt idx="122">
                  <c:v>-53.820000000000277</c:v>
                </c:pt>
                <c:pt idx="123">
                  <c:v>-53.13000000000028</c:v>
                </c:pt>
                <c:pt idx="124">
                  <c:v>-52.440000000000282</c:v>
                </c:pt>
                <c:pt idx="125">
                  <c:v>-51.750000000000284</c:v>
                </c:pt>
                <c:pt idx="126">
                  <c:v>-51.060000000000286</c:v>
                </c:pt>
                <c:pt idx="127">
                  <c:v>-50.370000000000289</c:v>
                </c:pt>
                <c:pt idx="128">
                  <c:v>-49.680000000000291</c:v>
                </c:pt>
                <c:pt idx="129">
                  <c:v>-48.990000000000293</c:v>
                </c:pt>
                <c:pt idx="130">
                  <c:v>-48.300000000000296</c:v>
                </c:pt>
                <c:pt idx="131">
                  <c:v>-47.610000000000298</c:v>
                </c:pt>
                <c:pt idx="132">
                  <c:v>-46.9200000000003</c:v>
                </c:pt>
                <c:pt idx="133">
                  <c:v>-46.230000000000302</c:v>
                </c:pt>
                <c:pt idx="134">
                  <c:v>-45.540000000000305</c:v>
                </c:pt>
                <c:pt idx="135">
                  <c:v>-44.850000000000307</c:v>
                </c:pt>
                <c:pt idx="136">
                  <c:v>-44.160000000000309</c:v>
                </c:pt>
                <c:pt idx="137">
                  <c:v>-43.470000000000312</c:v>
                </c:pt>
                <c:pt idx="138">
                  <c:v>-42.780000000000314</c:v>
                </c:pt>
                <c:pt idx="139">
                  <c:v>-42.090000000000316</c:v>
                </c:pt>
                <c:pt idx="140">
                  <c:v>-41.400000000000318</c:v>
                </c:pt>
                <c:pt idx="141">
                  <c:v>-40.710000000000321</c:v>
                </c:pt>
                <c:pt idx="142">
                  <c:v>-40.020000000000323</c:v>
                </c:pt>
                <c:pt idx="143">
                  <c:v>-39.330000000000325</c:v>
                </c:pt>
                <c:pt idx="144">
                  <c:v>-38.640000000000327</c:v>
                </c:pt>
                <c:pt idx="145">
                  <c:v>-37.95000000000033</c:v>
                </c:pt>
                <c:pt idx="146">
                  <c:v>-37.260000000000332</c:v>
                </c:pt>
                <c:pt idx="147">
                  <c:v>-36.570000000000334</c:v>
                </c:pt>
                <c:pt idx="148">
                  <c:v>-35.880000000000337</c:v>
                </c:pt>
                <c:pt idx="149">
                  <c:v>-35.190000000000339</c:v>
                </c:pt>
                <c:pt idx="150">
                  <c:v>-34.500000000000341</c:v>
                </c:pt>
                <c:pt idx="151">
                  <c:v>-33.810000000000343</c:v>
                </c:pt>
                <c:pt idx="152">
                  <c:v>-33.120000000000346</c:v>
                </c:pt>
                <c:pt idx="153">
                  <c:v>-32.430000000000348</c:v>
                </c:pt>
                <c:pt idx="154">
                  <c:v>-31.740000000000347</c:v>
                </c:pt>
                <c:pt idx="155">
                  <c:v>-31.050000000000345</c:v>
                </c:pt>
                <c:pt idx="156">
                  <c:v>-30.360000000000344</c:v>
                </c:pt>
                <c:pt idx="157">
                  <c:v>-29.670000000000343</c:v>
                </c:pt>
                <c:pt idx="158">
                  <c:v>-28.980000000000341</c:v>
                </c:pt>
                <c:pt idx="159">
                  <c:v>-28.29000000000034</c:v>
                </c:pt>
                <c:pt idx="160">
                  <c:v>-27.600000000000339</c:v>
                </c:pt>
                <c:pt idx="161">
                  <c:v>-26.910000000000338</c:v>
                </c:pt>
                <c:pt idx="162">
                  <c:v>-26.220000000000336</c:v>
                </c:pt>
                <c:pt idx="163">
                  <c:v>-25.530000000000335</c:v>
                </c:pt>
                <c:pt idx="164">
                  <c:v>-24.840000000000334</c:v>
                </c:pt>
                <c:pt idx="165">
                  <c:v>-24.150000000000333</c:v>
                </c:pt>
                <c:pt idx="166">
                  <c:v>-23.460000000000331</c:v>
                </c:pt>
                <c:pt idx="167">
                  <c:v>-22.77000000000033</c:v>
                </c:pt>
                <c:pt idx="168">
                  <c:v>-22.080000000000329</c:v>
                </c:pt>
                <c:pt idx="169">
                  <c:v>-21.390000000000327</c:v>
                </c:pt>
                <c:pt idx="170">
                  <c:v>-20.700000000000326</c:v>
                </c:pt>
                <c:pt idx="171">
                  <c:v>-20.010000000000325</c:v>
                </c:pt>
                <c:pt idx="172">
                  <c:v>-19.320000000000324</c:v>
                </c:pt>
                <c:pt idx="173">
                  <c:v>-18.630000000000322</c:v>
                </c:pt>
                <c:pt idx="174">
                  <c:v>-17.940000000000321</c:v>
                </c:pt>
                <c:pt idx="175">
                  <c:v>-17.25000000000032</c:v>
                </c:pt>
                <c:pt idx="176">
                  <c:v>-16.560000000000318</c:v>
                </c:pt>
                <c:pt idx="177">
                  <c:v>-15.870000000000319</c:v>
                </c:pt>
                <c:pt idx="178">
                  <c:v>-15.180000000000319</c:v>
                </c:pt>
                <c:pt idx="179">
                  <c:v>-14.49000000000032</c:v>
                </c:pt>
                <c:pt idx="180">
                  <c:v>-13.80000000000032</c:v>
                </c:pt>
                <c:pt idx="181">
                  <c:v>-13.110000000000321</c:v>
                </c:pt>
                <c:pt idx="182">
                  <c:v>-12.420000000000321</c:v>
                </c:pt>
                <c:pt idx="183">
                  <c:v>-11.730000000000322</c:v>
                </c:pt>
                <c:pt idx="184">
                  <c:v>-11.040000000000322</c:v>
                </c:pt>
                <c:pt idx="185">
                  <c:v>-10.350000000000323</c:v>
                </c:pt>
                <c:pt idx="186">
                  <c:v>-9.6600000000003234</c:v>
                </c:pt>
                <c:pt idx="187">
                  <c:v>-8.9700000000003239</c:v>
                </c:pt>
                <c:pt idx="188">
                  <c:v>-8.2800000000003244</c:v>
                </c:pt>
                <c:pt idx="189">
                  <c:v>-7.5900000000003249</c:v>
                </c:pt>
                <c:pt idx="190">
                  <c:v>-6.9000000000003254</c:v>
                </c:pt>
                <c:pt idx="191">
                  <c:v>-6.2100000000003259</c:v>
                </c:pt>
                <c:pt idx="192">
                  <c:v>-5.5200000000003264</c:v>
                </c:pt>
                <c:pt idx="193">
                  <c:v>-4.8300000000003269</c:v>
                </c:pt>
                <c:pt idx="194">
                  <c:v>-4.1400000000003274</c:v>
                </c:pt>
                <c:pt idx="195">
                  <c:v>-3.4500000000003275</c:v>
                </c:pt>
                <c:pt idx="196">
                  <c:v>-2.7600000000003275</c:v>
                </c:pt>
                <c:pt idx="197">
                  <c:v>-2.0700000000003276</c:v>
                </c:pt>
                <c:pt idx="198">
                  <c:v>-1.3800000000003276</c:v>
                </c:pt>
                <c:pt idx="199">
                  <c:v>-0.69000000000032768</c:v>
                </c:pt>
                <c:pt idx="200">
                  <c:v>-3.2773783686934621E-13</c:v>
                </c:pt>
                <c:pt idx="201">
                  <c:v>0.68999999999967221</c:v>
                </c:pt>
                <c:pt idx="202">
                  <c:v>1.3799999999996722</c:v>
                </c:pt>
                <c:pt idx="203">
                  <c:v>2.0699999999996721</c:v>
                </c:pt>
                <c:pt idx="204">
                  <c:v>2.759999999999672</c:v>
                </c:pt>
                <c:pt idx="205">
                  <c:v>3.449999999999672</c:v>
                </c:pt>
                <c:pt idx="206">
                  <c:v>4.1399999999996719</c:v>
                </c:pt>
                <c:pt idx="207">
                  <c:v>4.8299999999996714</c:v>
                </c:pt>
                <c:pt idx="208">
                  <c:v>5.5199999999996709</c:v>
                </c:pt>
                <c:pt idx="209">
                  <c:v>6.2099999999996705</c:v>
                </c:pt>
                <c:pt idx="210">
                  <c:v>6.89999999999967</c:v>
                </c:pt>
                <c:pt idx="211">
                  <c:v>7.5899999999996695</c:v>
                </c:pt>
                <c:pt idx="212">
                  <c:v>8.279999999999669</c:v>
                </c:pt>
                <c:pt idx="213">
                  <c:v>8.9699999999996685</c:v>
                </c:pt>
                <c:pt idx="214">
                  <c:v>9.659999999999668</c:v>
                </c:pt>
                <c:pt idx="215">
                  <c:v>10.349999999999667</c:v>
                </c:pt>
                <c:pt idx="216">
                  <c:v>11.039999999999667</c:v>
                </c:pt>
                <c:pt idx="217">
                  <c:v>11.729999999999666</c:v>
                </c:pt>
                <c:pt idx="218">
                  <c:v>12.419999999999666</c:v>
                </c:pt>
                <c:pt idx="219">
                  <c:v>13.109999999999665</c:v>
                </c:pt>
                <c:pt idx="220">
                  <c:v>13.799999999999665</c:v>
                </c:pt>
                <c:pt idx="221">
                  <c:v>14.489999999999664</c:v>
                </c:pt>
                <c:pt idx="222">
                  <c:v>15.179999999999664</c:v>
                </c:pt>
                <c:pt idx="223">
                  <c:v>15.869999999999663</c:v>
                </c:pt>
                <c:pt idx="224">
                  <c:v>16.559999999999665</c:v>
                </c:pt>
                <c:pt idx="225">
                  <c:v>17.249999999999666</c:v>
                </c:pt>
                <c:pt idx="226">
                  <c:v>17.939999999999667</c:v>
                </c:pt>
                <c:pt idx="227">
                  <c:v>18.629999999999669</c:v>
                </c:pt>
                <c:pt idx="228">
                  <c:v>19.31999999999967</c:v>
                </c:pt>
                <c:pt idx="229">
                  <c:v>20.009999999999671</c:v>
                </c:pt>
                <c:pt idx="230">
                  <c:v>20.699999999999672</c:v>
                </c:pt>
                <c:pt idx="231">
                  <c:v>21.389999999999674</c:v>
                </c:pt>
                <c:pt idx="232">
                  <c:v>22.079999999999675</c:v>
                </c:pt>
                <c:pt idx="233">
                  <c:v>22.769999999999676</c:v>
                </c:pt>
                <c:pt idx="234">
                  <c:v>23.459999999999678</c:v>
                </c:pt>
                <c:pt idx="235">
                  <c:v>24.149999999999679</c:v>
                </c:pt>
                <c:pt idx="236">
                  <c:v>24.83999999999968</c:v>
                </c:pt>
                <c:pt idx="237">
                  <c:v>25.529999999999681</c:v>
                </c:pt>
                <c:pt idx="238">
                  <c:v>26.219999999999683</c:v>
                </c:pt>
                <c:pt idx="239">
                  <c:v>26.909999999999684</c:v>
                </c:pt>
                <c:pt idx="240">
                  <c:v>27.599999999999685</c:v>
                </c:pt>
                <c:pt idx="241">
                  <c:v>28.289999999999687</c:v>
                </c:pt>
                <c:pt idx="242">
                  <c:v>28.979999999999688</c:v>
                </c:pt>
                <c:pt idx="243">
                  <c:v>29.669999999999689</c:v>
                </c:pt>
                <c:pt idx="244">
                  <c:v>30.35999999999969</c:v>
                </c:pt>
                <c:pt idx="245">
                  <c:v>31.049999999999692</c:v>
                </c:pt>
                <c:pt idx="246">
                  <c:v>31.739999999999693</c:v>
                </c:pt>
                <c:pt idx="247">
                  <c:v>32.429999999999694</c:v>
                </c:pt>
                <c:pt idx="248">
                  <c:v>33.119999999999692</c:v>
                </c:pt>
                <c:pt idx="249">
                  <c:v>33.80999999999969</c:v>
                </c:pt>
                <c:pt idx="250">
                  <c:v>34.499999999999687</c:v>
                </c:pt>
                <c:pt idx="251">
                  <c:v>35.189999999999685</c:v>
                </c:pt>
                <c:pt idx="252">
                  <c:v>35.879999999999683</c:v>
                </c:pt>
                <c:pt idx="253">
                  <c:v>36.569999999999681</c:v>
                </c:pt>
                <c:pt idx="254">
                  <c:v>37.259999999999678</c:v>
                </c:pt>
                <c:pt idx="255">
                  <c:v>37.949999999999676</c:v>
                </c:pt>
                <c:pt idx="256">
                  <c:v>38.639999999999674</c:v>
                </c:pt>
                <c:pt idx="257">
                  <c:v>39.329999999999671</c:v>
                </c:pt>
                <c:pt idx="258">
                  <c:v>40.019999999999669</c:v>
                </c:pt>
                <c:pt idx="259">
                  <c:v>40.709999999999667</c:v>
                </c:pt>
                <c:pt idx="260">
                  <c:v>41.399999999999665</c:v>
                </c:pt>
                <c:pt idx="261">
                  <c:v>42.089999999999662</c:v>
                </c:pt>
                <c:pt idx="262">
                  <c:v>42.77999999999966</c:v>
                </c:pt>
                <c:pt idx="263">
                  <c:v>43.469999999999658</c:v>
                </c:pt>
                <c:pt idx="264">
                  <c:v>44.159999999999656</c:v>
                </c:pt>
                <c:pt idx="265">
                  <c:v>44.849999999999653</c:v>
                </c:pt>
                <c:pt idx="266">
                  <c:v>45.539999999999651</c:v>
                </c:pt>
                <c:pt idx="267">
                  <c:v>46.229999999999649</c:v>
                </c:pt>
                <c:pt idx="268">
                  <c:v>46.919999999999646</c:v>
                </c:pt>
                <c:pt idx="269">
                  <c:v>47.609999999999644</c:v>
                </c:pt>
                <c:pt idx="270">
                  <c:v>48.299999999999642</c:v>
                </c:pt>
                <c:pt idx="271">
                  <c:v>48.98999999999964</c:v>
                </c:pt>
                <c:pt idx="272">
                  <c:v>49.679999999999637</c:v>
                </c:pt>
                <c:pt idx="273">
                  <c:v>50.369999999999635</c:v>
                </c:pt>
                <c:pt idx="274">
                  <c:v>51.059999999999633</c:v>
                </c:pt>
                <c:pt idx="275">
                  <c:v>51.749999999999631</c:v>
                </c:pt>
                <c:pt idx="276">
                  <c:v>52.439999999999628</c:v>
                </c:pt>
                <c:pt idx="277">
                  <c:v>53.129999999999626</c:v>
                </c:pt>
                <c:pt idx="278">
                  <c:v>53.819999999999624</c:v>
                </c:pt>
                <c:pt idx="279">
                  <c:v>54.509999999999621</c:v>
                </c:pt>
                <c:pt idx="280">
                  <c:v>55.199999999999619</c:v>
                </c:pt>
                <c:pt idx="281">
                  <c:v>55.889999999999617</c:v>
                </c:pt>
                <c:pt idx="282">
                  <c:v>56.579999999999615</c:v>
                </c:pt>
                <c:pt idx="283">
                  <c:v>57.269999999999612</c:v>
                </c:pt>
                <c:pt idx="284">
                  <c:v>57.95999999999961</c:v>
                </c:pt>
                <c:pt idx="285">
                  <c:v>58.649999999999608</c:v>
                </c:pt>
                <c:pt idx="286">
                  <c:v>59.339999999999606</c:v>
                </c:pt>
                <c:pt idx="287">
                  <c:v>60.029999999999603</c:v>
                </c:pt>
                <c:pt idx="288">
                  <c:v>60.719999999999601</c:v>
                </c:pt>
                <c:pt idx="289">
                  <c:v>61.409999999999599</c:v>
                </c:pt>
                <c:pt idx="290">
                  <c:v>62.099999999999596</c:v>
                </c:pt>
                <c:pt idx="291">
                  <c:v>62.789999999999594</c:v>
                </c:pt>
                <c:pt idx="292">
                  <c:v>63.479999999999592</c:v>
                </c:pt>
                <c:pt idx="293">
                  <c:v>64.16999999999959</c:v>
                </c:pt>
                <c:pt idx="294">
                  <c:v>64.859999999999587</c:v>
                </c:pt>
                <c:pt idx="295">
                  <c:v>65.549999999999585</c:v>
                </c:pt>
                <c:pt idx="296">
                  <c:v>66.239999999999583</c:v>
                </c:pt>
                <c:pt idx="297">
                  <c:v>66.92999999999958</c:v>
                </c:pt>
                <c:pt idx="298">
                  <c:v>67.619999999999578</c:v>
                </c:pt>
                <c:pt idx="299">
                  <c:v>68.309999999999576</c:v>
                </c:pt>
                <c:pt idx="300">
                  <c:v>68.999999999999574</c:v>
                </c:pt>
                <c:pt idx="301">
                  <c:v>69.689999999999571</c:v>
                </c:pt>
                <c:pt idx="302">
                  <c:v>70.379999999999569</c:v>
                </c:pt>
                <c:pt idx="303">
                  <c:v>71.069999999999567</c:v>
                </c:pt>
                <c:pt idx="304">
                  <c:v>71.759999999999565</c:v>
                </c:pt>
                <c:pt idx="305">
                  <c:v>72.449999999999562</c:v>
                </c:pt>
                <c:pt idx="306">
                  <c:v>73.13999999999956</c:v>
                </c:pt>
                <c:pt idx="307">
                  <c:v>73.829999999999558</c:v>
                </c:pt>
                <c:pt idx="308">
                  <c:v>74.519999999999555</c:v>
                </c:pt>
                <c:pt idx="309">
                  <c:v>75.209999999999553</c:v>
                </c:pt>
                <c:pt idx="310">
                  <c:v>75.899999999999551</c:v>
                </c:pt>
                <c:pt idx="311">
                  <c:v>76.589999999999549</c:v>
                </c:pt>
                <c:pt idx="312">
                  <c:v>77.279999999999546</c:v>
                </c:pt>
                <c:pt idx="313">
                  <c:v>77.969999999999544</c:v>
                </c:pt>
                <c:pt idx="314">
                  <c:v>78.659999999999542</c:v>
                </c:pt>
                <c:pt idx="315">
                  <c:v>79.34999999999954</c:v>
                </c:pt>
                <c:pt idx="316">
                  <c:v>80.039999999999537</c:v>
                </c:pt>
                <c:pt idx="317">
                  <c:v>80.729999999999535</c:v>
                </c:pt>
                <c:pt idx="318">
                  <c:v>81.419999999999533</c:v>
                </c:pt>
                <c:pt idx="319">
                  <c:v>82.10999999999953</c:v>
                </c:pt>
                <c:pt idx="320">
                  <c:v>82.799999999999528</c:v>
                </c:pt>
                <c:pt idx="321">
                  <c:v>83.489999999999526</c:v>
                </c:pt>
                <c:pt idx="322">
                  <c:v>84.179999999999524</c:v>
                </c:pt>
                <c:pt idx="323">
                  <c:v>84.869999999999521</c:v>
                </c:pt>
                <c:pt idx="324">
                  <c:v>85.559999999999519</c:v>
                </c:pt>
                <c:pt idx="325">
                  <c:v>86.249999999999517</c:v>
                </c:pt>
                <c:pt idx="326">
                  <c:v>86.939999999999515</c:v>
                </c:pt>
                <c:pt idx="327">
                  <c:v>87.629999999999512</c:v>
                </c:pt>
                <c:pt idx="328">
                  <c:v>88.31999999999951</c:v>
                </c:pt>
                <c:pt idx="329">
                  <c:v>89.009999999999508</c:v>
                </c:pt>
                <c:pt idx="330">
                  <c:v>89.699999999999505</c:v>
                </c:pt>
                <c:pt idx="331">
                  <c:v>90.389999999999503</c:v>
                </c:pt>
                <c:pt idx="332">
                  <c:v>91.079999999999501</c:v>
                </c:pt>
                <c:pt idx="333">
                  <c:v>91.769999999999499</c:v>
                </c:pt>
                <c:pt idx="334">
                  <c:v>92.459999999999496</c:v>
                </c:pt>
                <c:pt idx="335">
                  <c:v>93.149999999999494</c:v>
                </c:pt>
                <c:pt idx="336">
                  <c:v>93.839999999999492</c:v>
                </c:pt>
                <c:pt idx="337">
                  <c:v>94.52999999999949</c:v>
                </c:pt>
                <c:pt idx="338">
                  <c:v>95.219999999999487</c:v>
                </c:pt>
                <c:pt idx="339">
                  <c:v>95.909999999999485</c:v>
                </c:pt>
                <c:pt idx="340">
                  <c:v>96.599999999999483</c:v>
                </c:pt>
                <c:pt idx="341">
                  <c:v>97.28999999999948</c:v>
                </c:pt>
                <c:pt idx="342">
                  <c:v>97.979999999999478</c:v>
                </c:pt>
                <c:pt idx="343">
                  <c:v>98.669999999999476</c:v>
                </c:pt>
                <c:pt idx="344">
                  <c:v>99.359999999999474</c:v>
                </c:pt>
                <c:pt idx="345">
                  <c:v>100.04999999999947</c:v>
                </c:pt>
                <c:pt idx="346">
                  <c:v>100.73999999999947</c:v>
                </c:pt>
                <c:pt idx="347">
                  <c:v>101.42999999999947</c:v>
                </c:pt>
                <c:pt idx="348">
                  <c:v>102.11999999999946</c:v>
                </c:pt>
                <c:pt idx="349">
                  <c:v>102.80999999999946</c:v>
                </c:pt>
                <c:pt idx="350">
                  <c:v>103.49999999999946</c:v>
                </c:pt>
                <c:pt idx="351">
                  <c:v>104.18999999999946</c:v>
                </c:pt>
                <c:pt idx="352">
                  <c:v>104.87999999999946</c:v>
                </c:pt>
                <c:pt idx="353">
                  <c:v>105.56999999999945</c:v>
                </c:pt>
                <c:pt idx="354">
                  <c:v>106.25999999999945</c:v>
                </c:pt>
                <c:pt idx="355">
                  <c:v>106.94999999999945</c:v>
                </c:pt>
                <c:pt idx="356">
                  <c:v>107.63999999999945</c:v>
                </c:pt>
                <c:pt idx="357">
                  <c:v>108.32999999999944</c:v>
                </c:pt>
                <c:pt idx="358">
                  <c:v>109.01999999999944</c:v>
                </c:pt>
                <c:pt idx="359">
                  <c:v>109.70999999999944</c:v>
                </c:pt>
                <c:pt idx="360">
                  <c:v>110.39999999999944</c:v>
                </c:pt>
                <c:pt idx="361">
                  <c:v>111.08999999999943</c:v>
                </c:pt>
                <c:pt idx="362">
                  <c:v>111.77999999999943</c:v>
                </c:pt>
                <c:pt idx="363">
                  <c:v>112.46999999999943</c:v>
                </c:pt>
                <c:pt idx="364">
                  <c:v>113.15999999999943</c:v>
                </c:pt>
                <c:pt idx="365">
                  <c:v>113.84999999999943</c:v>
                </c:pt>
                <c:pt idx="366">
                  <c:v>114.53999999999942</c:v>
                </c:pt>
                <c:pt idx="367">
                  <c:v>115.22999999999942</c:v>
                </c:pt>
                <c:pt idx="368">
                  <c:v>115.91999999999942</c:v>
                </c:pt>
                <c:pt idx="369">
                  <c:v>116.60999999999942</c:v>
                </c:pt>
                <c:pt idx="370">
                  <c:v>117.29999999999941</c:v>
                </c:pt>
                <c:pt idx="371">
                  <c:v>117.98999999999941</c:v>
                </c:pt>
                <c:pt idx="372">
                  <c:v>118.67999999999941</c:v>
                </c:pt>
                <c:pt idx="373">
                  <c:v>119.36999999999941</c:v>
                </c:pt>
                <c:pt idx="374">
                  <c:v>120.05999999999941</c:v>
                </c:pt>
                <c:pt idx="375">
                  <c:v>120.7499999999994</c:v>
                </c:pt>
                <c:pt idx="376">
                  <c:v>121.4399999999994</c:v>
                </c:pt>
                <c:pt idx="377">
                  <c:v>122.1299999999994</c:v>
                </c:pt>
                <c:pt idx="378">
                  <c:v>122.8199999999994</c:v>
                </c:pt>
                <c:pt idx="379">
                  <c:v>123.50999999999939</c:v>
                </c:pt>
                <c:pt idx="380">
                  <c:v>124.19999999999939</c:v>
                </c:pt>
                <c:pt idx="381">
                  <c:v>124.88999999999939</c:v>
                </c:pt>
                <c:pt idx="382">
                  <c:v>125.57999999999939</c:v>
                </c:pt>
                <c:pt idx="383">
                  <c:v>126.26999999999938</c:v>
                </c:pt>
                <c:pt idx="384">
                  <c:v>126.95999999999938</c:v>
                </c:pt>
                <c:pt idx="385">
                  <c:v>127.64999999999938</c:v>
                </c:pt>
                <c:pt idx="386">
                  <c:v>128.33999999999938</c:v>
                </c:pt>
                <c:pt idx="387">
                  <c:v>129.02999999999938</c:v>
                </c:pt>
                <c:pt idx="388">
                  <c:v>129.71999999999937</c:v>
                </c:pt>
                <c:pt idx="389">
                  <c:v>130.40999999999937</c:v>
                </c:pt>
                <c:pt idx="390">
                  <c:v>131.09999999999937</c:v>
                </c:pt>
                <c:pt idx="391">
                  <c:v>131.78999999999937</c:v>
                </c:pt>
                <c:pt idx="392">
                  <c:v>132.47999999999936</c:v>
                </c:pt>
                <c:pt idx="393">
                  <c:v>133.16999999999936</c:v>
                </c:pt>
                <c:pt idx="394">
                  <c:v>133.85999999999936</c:v>
                </c:pt>
                <c:pt idx="395">
                  <c:v>134.54999999999936</c:v>
                </c:pt>
                <c:pt idx="396">
                  <c:v>135.23999999999936</c:v>
                </c:pt>
                <c:pt idx="397">
                  <c:v>135.92999999999935</c:v>
                </c:pt>
                <c:pt idx="398">
                  <c:v>136.61999999999935</c:v>
                </c:pt>
                <c:pt idx="399">
                  <c:v>137.30999999999935</c:v>
                </c:pt>
                <c:pt idx="400">
                  <c:v>137.99999999999935</c:v>
                </c:pt>
              </c:numCache>
            </c:numRef>
          </c:xVal>
          <c:yVal>
            <c:numRef>
              <c:f>CALCULATIONS!$F$30:$F$430</c:f>
              <c:numCache>
                <c:formatCode>General</c:formatCode>
                <c:ptCount val="401"/>
                <c:pt idx="0">
                  <c:v>0</c:v>
                </c:pt>
                <c:pt idx="1">
                  <c:v>-0.21393334366656722</c:v>
                </c:pt>
                <c:pt idx="2">
                  <c:v>-0.42652049888324778</c:v>
                </c:pt>
                <c:pt idx="3">
                  <c:v>-0.63776420749481255</c:v>
                </c:pt>
                <c:pt idx="4">
                  <c:v>-0.8476672019895698</c:v>
                </c:pt>
                <c:pt idx="5">
                  <c:v>-1.056232205543814</c:v>
                </c:pt>
                <c:pt idx="6">
                  <c:v>-1.2634619320660494</c:v>
                </c:pt>
                <c:pt idx="7">
                  <c:v>-1.4693590862409438</c:v>
                </c:pt>
                <c:pt idx="8">
                  <c:v>-1.6739263635730175</c:v>
                </c:pt>
                <c:pt idx="9">
                  <c:v>-1.8771664504300247</c:v>
                </c:pt>
                <c:pt idx="10">
                  <c:v>-2.0790820240861221</c:v>
                </c:pt>
                <c:pt idx="11">
                  <c:v>-2.2796757527648435</c:v>
                </c:pt>
                <c:pt idx="12">
                  <c:v>-2.4789502956816327</c:v>
                </c:pt>
                <c:pt idx="13">
                  <c:v>-2.6769083030863503</c:v>
                </c:pt>
                <c:pt idx="14">
                  <c:v>-2.8735524163053827</c:v>
                </c:pt>
                <c:pt idx="15">
                  <c:v>-3.068885267783481</c:v>
                </c:pt>
                <c:pt idx="16">
                  <c:v>-3.2629094811254986</c:v>
                </c:pt>
                <c:pt idx="17">
                  <c:v>-3.4556276711377452</c:v>
                </c:pt>
                <c:pt idx="18">
                  <c:v>-3.6470424438691147</c:v>
                </c:pt>
                <c:pt idx="19">
                  <c:v>-3.8371563966520972</c:v>
                </c:pt>
                <c:pt idx="20">
                  <c:v>-4.0259721181433239</c:v>
                </c:pt>
                <c:pt idx="21">
                  <c:v>-4.2134921883640937</c:v>
                </c:pt>
                <c:pt idx="22">
                  <c:v>-4.3997191787405256</c:v>
                </c:pt>
                <c:pt idx="23">
                  <c:v>-4.5846556521435318</c:v>
                </c:pt>
                <c:pt idx="24">
                  <c:v>-4.7683041629285219</c:v>
                </c:pt>
                <c:pt idx="25">
                  <c:v>-4.9506672569749171</c:v>
                </c:pt>
                <c:pt idx="26">
                  <c:v>-5.1317474717253804</c:v>
                </c:pt>
                <c:pt idx="27">
                  <c:v>-5.3115473362248533</c:v>
                </c:pt>
                <c:pt idx="28">
                  <c:v>-5.4900693711593691</c:v>
                </c:pt>
                <c:pt idx="29">
                  <c:v>-5.6673160888946033</c:v>
                </c:pt>
                <c:pt idx="30">
                  <c:v>-5.8432899935142233</c:v>
                </c:pt>
                <c:pt idx="31">
                  <c:v>-6.0179935808580218</c:v>
                </c:pt>
                <c:pt idx="32">
                  <c:v>-6.1914293385597956</c:v>
                </c:pt>
                <c:pt idx="33">
                  <c:v>-6.3635997460850549</c:v>
                </c:pt>
                <c:pt idx="34">
                  <c:v>-6.5345072747684281</c:v>
                </c:pt>
                <c:pt idx="35">
                  <c:v>-6.7041543878509691</c:v>
                </c:pt>
                <c:pt idx="36">
                  <c:v>-6.8725435405171247</c:v>
                </c:pt>
                <c:pt idx="37">
                  <c:v>-7.039677179931588</c:v>
                </c:pt>
                <c:pt idx="38">
                  <c:v>-7.2055577452758488</c:v>
                </c:pt>
                <c:pt idx="39">
                  <c:v>-7.3701876677846068</c:v>
                </c:pt>
                <c:pt idx="40">
                  <c:v>-7.5335693707819473</c:v>
                </c:pt>
                <c:pt idx="41">
                  <c:v>-7.695705269717279</c:v>
                </c:pt>
                <c:pt idx="42">
                  <c:v>-7.8565977722011171</c:v>
                </c:pt>
                <c:pt idx="43">
                  <c:v>-8.0162492780406005</c:v>
                </c:pt>
                <c:pt idx="44">
                  <c:v>-8.1746621792748755</c:v>
                </c:pt>
                <c:pt idx="45">
                  <c:v>-8.3318388602101887</c:v>
                </c:pt>
                <c:pt idx="46">
                  <c:v>-8.4877816974548672</c:v>
                </c:pt>
                <c:pt idx="47">
                  <c:v>-8.6424930599540328</c:v>
                </c:pt>
                <c:pt idx="48">
                  <c:v>-8.7959753090241417</c:v>
                </c:pt>
                <c:pt idx="49">
                  <c:v>-8.9482307983873195</c:v>
                </c:pt>
                <c:pt idx="50">
                  <c:v>-9.0992618742055207</c:v>
                </c:pt>
                <c:pt idx="51">
                  <c:v>-9.2490708751144499</c:v>
                </c:pt>
                <c:pt idx="52">
                  <c:v>-9.3976601322573412</c:v>
                </c:pt>
                <c:pt idx="53">
                  <c:v>-9.5450319693184849</c:v>
                </c:pt>
                <c:pt idx="54">
                  <c:v>-9.6911887025566301</c:v>
                </c:pt>
                <c:pt idx="55">
                  <c:v>-9.8361326408381338</c:v>
                </c:pt>
                <c:pt idx="56">
                  <c:v>-9.9798660856699613</c:v>
                </c:pt>
                <c:pt idx="57">
                  <c:v>-10.122391331232494</c:v>
                </c:pt>
                <c:pt idx="58">
                  <c:v>-10.263710664412121</c:v>
                </c:pt>
                <c:pt idx="59">
                  <c:v>-10.403826364833696</c:v>
                </c:pt>
                <c:pt idx="60">
                  <c:v>-10.542740704892747</c:v>
                </c:pt>
                <c:pt idx="61">
                  <c:v>-10.680455949787579</c:v>
                </c:pt>
                <c:pt idx="62">
                  <c:v>-10.816974357551114</c:v>
                </c:pt>
                <c:pt idx="63">
                  <c:v>-10.952298179082629</c:v>
                </c:pt>
                <c:pt idx="64">
                  <c:v>-11.086429658179247</c:v>
                </c:pt>
                <c:pt idx="65">
                  <c:v>-11.219371031567285</c:v>
                </c:pt>
                <c:pt idx="66">
                  <c:v>-11.351124528933434</c:v>
                </c:pt>
                <c:pt idx="67">
                  <c:v>-11.481692372955738</c:v>
                </c:pt>
                <c:pt idx="68">
                  <c:v>-11.611076779334418</c:v>
                </c:pt>
                <c:pt idx="69">
                  <c:v>-11.739279956822498</c:v>
                </c:pt>
                <c:pt idx="70">
                  <c:v>-11.866304107256299</c:v>
                </c:pt>
                <c:pt idx="71">
                  <c:v>-11.992151425585723</c:v>
                </c:pt>
                <c:pt idx="72">
                  <c:v>-12.11682409990439</c:v>
                </c:pt>
                <c:pt idx="73">
                  <c:v>-12.240324311479593</c:v>
                </c:pt>
                <c:pt idx="74">
                  <c:v>-12.362654234782108</c:v>
                </c:pt>
                <c:pt idx="75">
                  <c:v>-12.483816037515805</c:v>
                </c:pt>
                <c:pt idx="76">
                  <c:v>-12.603811880647104</c:v>
                </c:pt>
                <c:pt idx="77">
                  <c:v>-12.722643918434304</c:v>
                </c:pt>
                <c:pt idx="78">
                  <c:v>-12.840314298456692</c:v>
                </c:pt>
                <c:pt idx="79">
                  <c:v>-12.956825161643524</c:v>
                </c:pt>
                <c:pt idx="80">
                  <c:v>-13.072178642302836</c:v>
                </c:pt>
                <c:pt idx="81">
                  <c:v>-13.186376868150106</c:v>
                </c:pt>
                <c:pt idx="82">
                  <c:v>-13.299421960336732</c:v>
                </c:pt>
                <c:pt idx="83">
                  <c:v>-13.411316033478377</c:v>
                </c:pt>
                <c:pt idx="84">
                  <c:v>-13.522061195683156</c:v>
                </c:pt>
                <c:pt idx="85">
                  <c:v>-13.631659548579638</c:v>
                </c:pt>
                <c:pt idx="86">
                  <c:v>-13.740113187344742</c:v>
                </c:pt>
                <c:pt idx="87">
                  <c:v>-13.84742420073143</c:v>
                </c:pt>
                <c:pt idx="88">
                  <c:v>-13.953594671096285</c:v>
                </c:pt>
                <c:pt idx="89">
                  <c:v>-14.058626674426913</c:v>
                </c:pt>
                <c:pt idx="90">
                  <c:v>-14.162522280369213</c:v>
                </c:pt>
                <c:pt idx="91">
                  <c:v>-14.265283552254482</c:v>
                </c:pt>
                <c:pt idx="92">
                  <c:v>-14.366912547126377</c:v>
                </c:pt>
                <c:pt idx="93">
                  <c:v>-14.467411315767727</c:v>
                </c:pt>
                <c:pt idx="94">
                  <c:v>-14.566781902727229</c:v>
                </c:pt>
                <c:pt idx="95">
                  <c:v>-14.665026346345922</c:v>
                </c:pt>
                <c:pt idx="96">
                  <c:v>-14.762146678783614</c:v>
                </c:pt>
                <c:pt idx="97">
                  <c:v>-14.858144926045087</c:v>
                </c:pt>
                <c:pt idx="98">
                  <c:v>-14.953023108006192</c:v>
                </c:pt>
                <c:pt idx="99">
                  <c:v>-15.046783238439822</c:v>
                </c:pt>
                <c:pt idx="100">
                  <c:v>-15.139427325041682</c:v>
                </c:pt>
                <c:pt idx="101">
                  <c:v>-15.230957369455998</c:v>
                </c:pt>
                <c:pt idx="102">
                  <c:v>-15.321375367301012</c:v>
                </c:pt>
                <c:pt idx="103">
                  <c:v>-15.410683308194411</c:v>
                </c:pt>
                <c:pt idx="104">
                  <c:v>-15.498883175778541</c:v>
                </c:pt>
                <c:pt idx="105">
                  <c:v>-15.585976947745555</c:v>
                </c:pt>
                <c:pt idx="106">
                  <c:v>-15.671966595862392</c:v>
                </c:pt>
                <c:pt idx="107">
                  <c:v>-15.756854085995606</c:v>
                </c:pt>
                <c:pt idx="108">
                  <c:v>-15.840641378136098</c:v>
                </c:pt>
                <c:pt idx="109">
                  <c:v>-15.9233304264237</c:v>
                </c:pt>
                <c:pt idx="110">
                  <c:v>-16.004923179171612</c:v>
                </c:pt>
                <c:pt idx="111">
                  <c:v>-16.085421578890735</c:v>
                </c:pt>
                <c:pt idx="112">
                  <c:v>-16.164827562313832</c:v>
                </c:pt>
                <c:pt idx="113">
                  <c:v>-16.243143060419623</c:v>
                </c:pt>
                <c:pt idx="114">
                  <c:v>-16.320369998456695</c:v>
                </c:pt>
                <c:pt idx="115">
                  <c:v>-16.396510295967296</c:v>
                </c:pt>
                <c:pt idx="116">
                  <c:v>-16.471565866811034</c:v>
                </c:pt>
                <c:pt idx="117">
                  <c:v>-16.545538619188413</c:v>
                </c:pt>
                <c:pt idx="118">
                  <c:v>-16.618430455664253</c:v>
                </c:pt>
                <c:pt idx="119">
                  <c:v>-16.690243273190994</c:v>
                </c:pt>
                <c:pt idx="120">
                  <c:v>-16.76097896313188</c:v>
                </c:pt>
                <c:pt idx="121">
                  <c:v>-16.830639411284</c:v>
                </c:pt>
                <c:pt idx="122">
                  <c:v>-16.899226497901228</c:v>
                </c:pt>
                <c:pt idx="123">
                  <c:v>-16.966742097717024</c:v>
                </c:pt>
                <c:pt idx="124">
                  <c:v>-17.033188079967125</c:v>
                </c:pt>
                <c:pt idx="125">
                  <c:v>-17.098566308412135</c:v>
                </c:pt>
                <c:pt idx="126">
                  <c:v>-17.162878641359939</c:v>
                </c:pt>
                <c:pt idx="127">
                  <c:v>-17.226126931688064</c:v>
                </c:pt>
                <c:pt idx="128">
                  <c:v>-17.288313026865875</c:v>
                </c:pt>
                <c:pt idx="129">
                  <c:v>-17.349438768976704</c:v>
                </c:pt>
                <c:pt idx="130">
                  <c:v>-17.409505994739781</c:v>
                </c:pt>
                <c:pt idx="131">
                  <c:v>-17.468516535532153</c:v>
                </c:pt>
                <c:pt idx="132">
                  <c:v>-17.526472217410404</c:v>
                </c:pt>
                <c:pt idx="133">
                  <c:v>-17.583374861132302</c:v>
                </c:pt>
                <c:pt idx="134">
                  <c:v>-17.639226282178335</c:v>
                </c:pt>
                <c:pt idx="135">
                  <c:v>-17.694028290773108</c:v>
                </c:pt>
                <c:pt idx="136">
                  <c:v>-17.747782691906654</c:v>
                </c:pt>
                <c:pt idx="137">
                  <c:v>-17.800491285355619</c:v>
                </c:pt>
                <c:pt idx="138">
                  <c:v>-17.852155865704361</c:v>
                </c:pt>
                <c:pt idx="139">
                  <c:v>-17.902778222365889</c:v>
                </c:pt>
                <c:pt idx="140">
                  <c:v>-17.952360139602749</c:v>
                </c:pt>
                <c:pt idx="141">
                  <c:v>-18.000903396547784</c:v>
                </c:pt>
                <c:pt idx="142">
                  <c:v>-18.048409767224747</c:v>
                </c:pt>
                <c:pt idx="143">
                  <c:v>-18.094881020568888</c:v>
                </c:pt>
                <c:pt idx="144">
                  <c:v>-18.140318920447346</c:v>
                </c:pt>
                <c:pt idx="145">
                  <c:v>-18.1847252256795</c:v>
                </c:pt>
                <c:pt idx="146">
                  <c:v>-18.228101690057187</c:v>
                </c:pt>
                <c:pt idx="147">
                  <c:v>-18.27045006236483</c:v>
                </c:pt>
                <c:pt idx="148">
                  <c:v>-18.311772086399436</c:v>
                </c:pt>
                <c:pt idx="149">
                  <c:v>-18.352069500990524</c:v>
                </c:pt>
                <c:pt idx="150">
                  <c:v>-18.391344040019938</c:v>
                </c:pt>
                <c:pt idx="151">
                  <c:v>-18.429597432441543</c:v>
                </c:pt>
                <c:pt idx="152">
                  <c:v>-18.466831402300851</c:v>
                </c:pt>
                <c:pt idx="153">
                  <c:v>-18.503047668754515</c:v>
                </c:pt>
                <c:pt idx="154">
                  <c:v>-18.538247946089751</c:v>
                </c:pt>
                <c:pt idx="155">
                  <c:v>-18.572433943743626</c:v>
                </c:pt>
                <c:pt idx="156">
                  <c:v>-18.605607366322314</c:v>
                </c:pt>
                <c:pt idx="157">
                  <c:v>-18.637769913620154</c:v>
                </c:pt>
                <c:pt idx="158">
                  <c:v>-18.668923280638708</c:v>
                </c:pt>
                <c:pt idx="159">
                  <c:v>-18.699069157605663</c:v>
                </c:pt>
                <c:pt idx="160">
                  <c:v>-18.728209229993666</c:v>
                </c:pt>
                <c:pt idx="161">
                  <c:v>-18.756345178539043</c:v>
                </c:pt>
                <c:pt idx="162">
                  <c:v>-18.783478679260433</c:v>
                </c:pt>
                <c:pt idx="163">
                  <c:v>-18.809611403477341</c:v>
                </c:pt>
                <c:pt idx="164">
                  <c:v>-18.834745017828563</c:v>
                </c:pt>
                <c:pt idx="165">
                  <c:v>-18.858881184290571</c:v>
                </c:pt>
                <c:pt idx="166">
                  <c:v>-18.882021560195735</c:v>
                </c:pt>
                <c:pt idx="167">
                  <c:v>-18.904167798250526</c:v>
                </c:pt>
                <c:pt idx="168">
                  <c:v>-18.925321546553569</c:v>
                </c:pt>
                <c:pt idx="169">
                  <c:v>-18.945484448613652</c:v>
                </c:pt>
                <c:pt idx="170">
                  <c:v>-18.9646581433676</c:v>
                </c:pt>
                <c:pt idx="171">
                  <c:v>-18.982844265198104</c:v>
                </c:pt>
                <c:pt idx="172">
                  <c:v>-19.000044443951413</c:v>
                </c:pt>
                <c:pt idx="173">
                  <c:v>-19.016260304955001</c:v>
                </c:pt>
                <c:pt idx="174">
                  <c:v>-19.031493469035066</c:v>
                </c:pt>
                <c:pt idx="175">
                  <c:v>-19.045745552534012</c:v>
                </c:pt>
                <c:pt idx="176">
                  <c:v>-19.0590181673278</c:v>
                </c:pt>
                <c:pt idx="177">
                  <c:v>-19.071312920843258</c:v>
                </c:pt>
                <c:pt idx="178">
                  <c:v>-19.082631416075227</c:v>
                </c:pt>
                <c:pt idx="179">
                  <c:v>-19.092975251603718</c:v>
                </c:pt>
                <c:pt idx="180">
                  <c:v>-19.102346021610899</c:v>
                </c:pt>
                <c:pt idx="181">
                  <c:v>-19.110745315898058</c:v>
                </c:pt>
                <c:pt idx="182">
                  <c:v>-19.118174719902463</c:v>
                </c:pt>
                <c:pt idx="183">
                  <c:v>-19.124635814714111</c:v>
                </c:pt>
                <c:pt idx="184">
                  <c:v>-19.130130177092436</c:v>
                </c:pt>
                <c:pt idx="185">
                  <c:v>-19.134659379482908</c:v>
                </c:pt>
                <c:pt idx="186">
                  <c:v>-19.138224990033571</c:v>
                </c:pt>
                <c:pt idx="187">
                  <c:v>-19.140828572611479</c:v>
                </c:pt>
                <c:pt idx="188">
                  <c:v>-19.14247168681905</c:v>
                </c:pt>
                <c:pt idx="189">
                  <c:v>-19.143155888010369</c:v>
                </c:pt>
                <c:pt idx="190">
                  <c:v>-19.142882727307381</c:v>
                </c:pt>
                <c:pt idx="191">
                  <c:v>-19.141653751616015</c:v>
                </c:pt>
                <c:pt idx="192">
                  <c:v>-19.139470503642226</c:v>
                </c:pt>
                <c:pt idx="193">
                  <c:v>-19.136334521907969</c:v>
                </c:pt>
                <c:pt idx="194">
                  <c:v>-19.132247340767087</c:v>
                </c:pt>
                <c:pt idx="195">
                  <c:v>-19.127210490421117</c:v>
                </c:pt>
                <c:pt idx="196">
                  <c:v>-19.121225496935025</c:v>
                </c:pt>
                <c:pt idx="197">
                  <c:v>-19.114293882252866</c:v>
                </c:pt>
                <c:pt idx="198">
                  <c:v>-19.106417164213362</c:v>
                </c:pt>
                <c:pt idx="199">
                  <c:v>-19.097596856565417</c:v>
                </c:pt>
                <c:pt idx="200">
                  <c:v>-19.087834468983534</c:v>
                </c:pt>
                <c:pt idx="201">
                  <c:v>-19.077131507083177</c:v>
                </c:pt>
                <c:pt idx="202">
                  <c:v>-19.065489472436049</c:v>
                </c:pt>
                <c:pt idx="203">
                  <c:v>-19.052909862585313</c:v>
                </c:pt>
                <c:pt idx="204">
                  <c:v>-19.039394171060703</c:v>
                </c:pt>
                <c:pt idx="205">
                  <c:v>-19.024943887393608</c:v>
                </c:pt>
                <c:pt idx="206">
                  <c:v>-19.009560497132036</c:v>
                </c:pt>
                <c:pt idx="207">
                  <c:v>-18.993245481855546</c:v>
                </c:pt>
                <c:pt idx="208">
                  <c:v>-18.976000319190106</c:v>
                </c:pt>
                <c:pt idx="209">
                  <c:v>-18.957826482822824</c:v>
                </c:pt>
                <c:pt idx="210">
                  <c:v>-18.938725442516692</c:v>
                </c:pt>
                <c:pt idx="211">
                  <c:v>-18.918698664125184</c:v>
                </c:pt>
                <c:pt idx="212">
                  <c:v>-18.897747609606856</c:v>
                </c:pt>
                <c:pt idx="213">
                  <c:v>-18.875873737039797</c:v>
                </c:pt>
                <c:pt idx="214">
                  <c:v>-18.853078500636073</c:v>
                </c:pt>
                <c:pt idx="215">
                  <c:v>-18.829363350756076</c:v>
                </c:pt>
                <c:pt idx="216">
                  <c:v>-18.804729733922819</c:v>
                </c:pt>
                <c:pt idx="217">
                  <c:v>-18.779179092836134</c:v>
                </c:pt>
                <c:pt idx="218">
                  <c:v>-18.752712866386833</c:v>
                </c:pt>
                <c:pt idx="219">
                  <c:v>-18.725332489670784</c:v>
                </c:pt>
                <c:pt idx="220">
                  <c:v>-18.697039394002946</c:v>
                </c:pt>
                <c:pt idx="221">
                  <c:v>-18.667835006931281</c:v>
                </c:pt>
                <c:pt idx="222">
                  <c:v>-18.637720752250672</c:v>
                </c:pt>
                <c:pt idx="223">
                  <c:v>-18.606698050016711</c:v>
                </c:pt>
                <c:pt idx="224">
                  <c:v>-18.574768316559471</c:v>
                </c:pt>
                <c:pt idx="225">
                  <c:v>-18.541932964497196</c:v>
                </c:pt>
                <c:pt idx="226">
                  <c:v>-18.508193402749896</c:v>
                </c:pt>
                <c:pt idx="227">
                  <c:v>-18.473551036552923</c:v>
                </c:pt>
                <c:pt idx="228">
                  <c:v>-18.438007267470464</c:v>
                </c:pt>
                <c:pt idx="229">
                  <c:v>-18.401563493408982</c:v>
                </c:pt>
                <c:pt idx="230">
                  <c:v>-18.364221108630549</c:v>
                </c:pt>
                <c:pt idx="231">
                  <c:v>-18.325981503766187</c:v>
                </c:pt>
                <c:pt idx="232">
                  <c:v>-18.286846065829078</c:v>
                </c:pt>
                <c:pt idx="233">
                  <c:v>-18.246816178227789</c:v>
                </c:pt>
                <c:pt idx="234">
                  <c:v>-18.205893220779334</c:v>
                </c:pt>
                <c:pt idx="235">
                  <c:v>-18.164078569722268</c:v>
                </c:pt>
                <c:pt idx="236">
                  <c:v>-18.121373597729672</c:v>
                </c:pt>
                <c:pt idx="237">
                  <c:v>-18.077779673922095</c:v>
                </c:pt>
                <c:pt idx="238">
                  <c:v>-18.033298163880414</c:v>
                </c:pt>
                <c:pt idx="239">
                  <c:v>-17.987930429658665</c:v>
                </c:pt>
                <c:pt idx="240">
                  <c:v>-17.941677829796781</c:v>
                </c:pt>
                <c:pt idx="241">
                  <c:v>-17.894541719333311</c:v>
                </c:pt>
                <c:pt idx="242">
                  <c:v>-17.846523449818037</c:v>
                </c:pt>
                <c:pt idx="243">
                  <c:v>-17.797624369324556</c:v>
                </c:pt>
                <c:pt idx="244">
                  <c:v>-17.747845822462807</c:v>
                </c:pt>
                <c:pt idx="245">
                  <c:v>-17.69718915039153</c:v>
                </c:pt>
                <c:pt idx="246">
                  <c:v>-17.645655690830679</c:v>
                </c:pt>
                <c:pt idx="247">
                  <c:v>-17.593246778073745</c:v>
                </c:pt>
                <c:pt idx="248">
                  <c:v>-17.539963743000069</c:v>
                </c:pt>
                <c:pt idx="249">
                  <c:v>-17.485807913087065</c:v>
                </c:pt>
                <c:pt idx="250">
                  <c:v>-17.430780612422414</c:v>
                </c:pt>
                <c:pt idx="251">
                  <c:v>-17.374883161716156</c:v>
                </c:pt>
                <c:pt idx="252">
                  <c:v>-17.318116878312779</c:v>
                </c:pt>
                <c:pt idx="253">
                  <c:v>-17.260483076203222</c:v>
                </c:pt>
                <c:pt idx="254">
                  <c:v>-17.201983066036831</c:v>
                </c:pt>
                <c:pt idx="255">
                  <c:v>-17.142618155133256</c:v>
                </c:pt>
                <c:pt idx="256">
                  <c:v>-17.082389647494306</c:v>
                </c:pt>
                <c:pt idx="257">
                  <c:v>-17.021298843815725</c:v>
                </c:pt>
                <c:pt idx="258">
                  <c:v>-16.959347041498937</c:v>
                </c:pt>
                <c:pt idx="259">
                  <c:v>-16.896535534662753</c:v>
                </c:pt>
                <c:pt idx="260">
                  <c:v>-16.832865614154958</c:v>
                </c:pt>
                <c:pt idx="261">
                  <c:v>-16.768338567563923</c:v>
                </c:pt>
                <c:pt idx="262">
                  <c:v>-16.702955679230122</c:v>
                </c:pt>
                <c:pt idx="263">
                  <c:v>-16.636718230257596</c:v>
                </c:pt>
                <c:pt idx="264">
                  <c:v>-16.569627498525389</c:v>
                </c:pt>
                <c:pt idx="265">
                  <c:v>-16.501684758698904</c:v>
                </c:pt>
                <c:pt idx="266">
                  <c:v>-16.432891282241226</c:v>
                </c:pt>
                <c:pt idx="267">
                  <c:v>-16.363248337424384</c:v>
                </c:pt>
                <c:pt idx="268">
                  <c:v>-16.292757189340588</c:v>
                </c:pt>
                <c:pt idx="269">
                  <c:v>-16.221419099913355</c:v>
                </c:pt>
                <c:pt idx="270">
                  <c:v>-16.149235327908656</c:v>
                </c:pt>
                <c:pt idx="271">
                  <c:v>-16.076207128945967</c:v>
                </c:pt>
                <c:pt idx="272">
                  <c:v>-16.002335755509279</c:v>
                </c:pt>
                <c:pt idx="273">
                  <c:v>-15.927622456958076</c:v>
                </c:pt>
                <c:pt idx="274">
                  <c:v>-15.85206847953825</c:v>
                </c:pt>
                <c:pt idx="275">
                  <c:v>-15.775675066392944</c:v>
                </c:pt>
                <c:pt idx="276">
                  <c:v>-15.698443457573399</c:v>
                </c:pt>
                <c:pt idx="277">
                  <c:v>-15.620374890049707</c:v>
                </c:pt>
                <c:pt idx="278">
                  <c:v>-15.541470597721531</c:v>
                </c:pt>
                <c:pt idx="279">
                  <c:v>-15.461731811428793</c:v>
                </c:pt>
                <c:pt idx="280">
                  <c:v>-15.381159758962285</c:v>
                </c:pt>
                <c:pt idx="281">
                  <c:v>-15.299755665074242</c:v>
                </c:pt>
                <c:pt idx="282">
                  <c:v>-15.217520751488887</c:v>
                </c:pt>
                <c:pt idx="283">
                  <c:v>-15.134456236912918</c:v>
                </c:pt>
                <c:pt idx="284">
                  <c:v>-15.050563337045917</c:v>
                </c:pt>
                <c:pt idx="285">
                  <c:v>-14.965843264590779</c:v>
                </c:pt>
                <c:pt idx="286">
                  <c:v>-14.880297229264016</c:v>
                </c:pt>
                <c:pt idx="287">
                  <c:v>-14.793926437806093</c:v>
                </c:pt>
                <c:pt idx="288">
                  <c:v>-14.706732093991651</c:v>
                </c:pt>
                <c:pt idx="289">
                  <c:v>-14.618715398639727</c:v>
                </c:pt>
                <c:pt idx="290">
                  <c:v>-14.529877549623926</c:v>
                </c:pt>
                <c:pt idx="291">
                  <c:v>-14.440219741882512</c:v>
                </c:pt>
                <c:pt idx="292">
                  <c:v>-14.349743167428503</c:v>
                </c:pt>
                <c:pt idx="293">
                  <c:v>-14.258449015359689</c:v>
                </c:pt>
                <c:pt idx="294">
                  <c:v>-14.166338471868615</c:v>
                </c:pt>
                <c:pt idx="295">
                  <c:v>-14.073412720252517</c:v>
                </c:pt>
                <c:pt idx="296">
                  <c:v>-13.979672940923233</c:v>
                </c:pt>
                <c:pt idx="297">
                  <c:v>-13.885120311417035</c:v>
                </c:pt>
                <c:pt idx="298">
                  <c:v>-13.789756006404447</c:v>
                </c:pt>
                <c:pt idx="299">
                  <c:v>-13.693581197700013</c:v>
                </c:pt>
                <c:pt idx="300">
                  <c:v>-13.59659705427201</c:v>
                </c:pt>
                <c:pt idx="301">
                  <c:v>-13.49880474225214</c:v>
                </c:pt>
                <c:pt idx="302">
                  <c:v>-13.400205424945151</c:v>
                </c:pt>
                <c:pt idx="303">
                  <c:v>-13.300800262838452</c:v>
                </c:pt>
                <c:pt idx="304">
                  <c:v>-13.200590413611646</c:v>
                </c:pt>
                <c:pt idx="305">
                  <c:v>-13.099577032146058</c:v>
                </c:pt>
                <c:pt idx="306">
                  <c:v>-12.997761270534189</c:v>
                </c:pt>
                <c:pt idx="307">
                  <c:v>-12.895144278089157</c:v>
                </c:pt>
                <c:pt idx="308">
                  <c:v>-12.791727201354071</c:v>
                </c:pt>
                <c:pt idx="309">
                  <c:v>-12.687511184111395</c:v>
                </c:pt>
                <c:pt idx="310">
                  <c:v>-12.582497367392232</c:v>
                </c:pt>
                <c:pt idx="311">
                  <c:v>-12.476686889485601</c:v>
                </c:pt>
                <c:pt idx="312">
                  <c:v>-12.37008088594766</c:v>
                </c:pt>
                <c:pt idx="313">
                  <c:v>-12.26268048961089</c:v>
                </c:pt>
                <c:pt idx="314">
                  <c:v>-12.154486830593228</c:v>
                </c:pt>
                <c:pt idx="315">
                  <c:v>-12.04550103630719</c:v>
                </c:pt>
                <c:pt idx="316">
                  <c:v>-11.935724231468926</c:v>
                </c:pt>
                <c:pt idx="317">
                  <c:v>-11.825157538107241</c:v>
                </c:pt>
                <c:pt idx="318">
                  <c:v>-11.71380207557258</c:v>
                </c:pt>
                <c:pt idx="319">
                  <c:v>-11.601658960545993</c:v>
                </c:pt>
                <c:pt idx="320">
                  <c:v>-11.488729307048013</c:v>
                </c:pt>
                <c:pt idx="321">
                  <c:v>-11.375014226447561</c:v>
                </c:pt>
                <c:pt idx="322">
                  <c:v>-11.260514827470745</c:v>
                </c:pt>
                <c:pt idx="323">
                  <c:v>-11.145232216209674</c:v>
                </c:pt>
                <c:pt idx="324">
                  <c:v>-11.029167496131192</c:v>
                </c:pt>
                <c:pt idx="325">
                  <c:v>-10.912321768085629</c:v>
                </c:pt>
                <c:pt idx="326">
                  <c:v>-10.79469613031544</c:v>
                </c:pt>
                <c:pt idx="327">
                  <c:v>-10.676291678463883</c:v>
                </c:pt>
                <c:pt idx="328">
                  <c:v>-10.557109505583584</c:v>
                </c:pt>
                <c:pt idx="329">
                  <c:v>-10.437150702145143</c:v>
                </c:pt>
                <c:pt idx="330">
                  <c:v>-10.316416356045645</c:v>
                </c:pt>
                <c:pt idx="331">
                  <c:v>-10.194907552617147</c:v>
                </c:pt>
                <c:pt idx="332">
                  <c:v>-10.072625374635148</c:v>
                </c:pt>
                <c:pt idx="333">
                  <c:v>-9.9495709023270038</c:v>
                </c:pt>
                <c:pt idx="334">
                  <c:v>-9.8257452133803067</c:v>
                </c:pt>
                <c:pt idx="335">
                  <c:v>-9.7011493829512361</c:v>
                </c:pt>
                <c:pt idx="336">
                  <c:v>-9.5757844836728836</c:v>
                </c:pt>
                <c:pt idx="337">
                  <c:v>-9.4496515856634851</c:v>
                </c:pt>
                <c:pt idx="338">
                  <c:v>-9.3227517565347178</c:v>
                </c:pt>
                <c:pt idx="339">
                  <c:v>-9.1950860613998806</c:v>
                </c:pt>
                <c:pt idx="340">
                  <c:v>-9.0666555628820298</c:v>
                </c:pt>
                <c:pt idx="341">
                  <c:v>-8.9374613211221643</c:v>
                </c:pt>
                <c:pt idx="342">
                  <c:v>-8.8075043937872977</c:v>
                </c:pt>
                <c:pt idx="343">
                  <c:v>-8.6767858360785315</c:v>
                </c:pt>
                <c:pt idx="344">
                  <c:v>-8.5453067007390686</c:v>
                </c:pt>
                <c:pt idx="345">
                  <c:v>-8.4130680380622227</c:v>
                </c:pt>
                <c:pt idx="346">
                  <c:v>-8.2800708958993745</c:v>
                </c:pt>
                <c:pt idx="347">
                  <c:v>-8.1463163196678874</c:v>
                </c:pt>
                <c:pt idx="348">
                  <c:v>-8.0118053523590156</c:v>
                </c:pt>
                <c:pt idx="349">
                  <c:v>-7.8765390345457487</c:v>
                </c:pt>
                <c:pt idx="350">
                  <c:v>-7.7405184043906292</c:v>
                </c:pt>
                <c:pt idx="351">
                  <c:v>-7.6037444976535582</c:v>
                </c:pt>
                <c:pt idx="352">
                  <c:v>-7.4662183476995416</c:v>
                </c:pt>
                <c:pt idx="353">
                  <c:v>-7.3279409855064106</c:v>
                </c:pt>
                <c:pt idx="354">
                  <c:v>-7.1889134396725165</c:v>
                </c:pt>
                <c:pt idx="355">
                  <c:v>-7.0491367364243729</c:v>
                </c:pt>
                <c:pt idx="356">
                  <c:v>-6.9086118996242849</c:v>
                </c:pt>
                <c:pt idx="357">
                  <c:v>-6.7673399507779504</c:v>
                </c:pt>
                <c:pt idx="358">
                  <c:v>-6.6253219090420004</c:v>
                </c:pt>
                <c:pt idx="359">
                  <c:v>-6.4825587912315186</c:v>
                </c:pt>
                <c:pt idx="360">
                  <c:v>-6.3390516118275437</c:v>
                </c:pt>
                <c:pt idx="361">
                  <c:v>-6.194801382984533</c:v>
                </c:pt>
                <c:pt idx="362">
                  <c:v>-6.0498091145377595</c:v>
                </c:pt>
                <c:pt idx="363">
                  <c:v>-5.9040758140107332</c:v>
                </c:pt>
                <c:pt idx="364">
                  <c:v>-5.7576024866225444</c:v>
                </c:pt>
                <c:pt idx="365">
                  <c:v>-5.6103901352952121</c:v>
                </c:pt>
                <c:pt idx="366">
                  <c:v>-5.4624397606609483</c:v>
                </c:pt>
                <c:pt idx="367">
                  <c:v>-5.3137523610694597</c:v>
                </c:pt>
                <c:pt idx="368">
                  <c:v>-5.1643289325951489</c:v>
                </c:pt>
                <c:pt idx="369">
                  <c:v>-5.0141704690443287</c:v>
                </c:pt>
                <c:pt idx="370">
                  <c:v>-4.8632779619624014</c:v>
                </c:pt>
                <c:pt idx="371">
                  <c:v>-4.7116524006409719</c:v>
                </c:pt>
                <c:pt idx="372">
                  <c:v>-4.5592947721249804</c:v>
                </c:pt>
                <c:pt idx="373">
                  <c:v>-4.4062060612197538</c:v>
                </c:pt>
                <c:pt idx="374">
                  <c:v>-4.2523872504980638</c:v>
                </c:pt>
                <c:pt idx="375">
                  <c:v>-4.0978393203071422</c:v>
                </c:pt>
                <c:pt idx="376">
                  <c:v>-3.942563248775639</c:v>
                </c:pt>
                <c:pt idx="377">
                  <c:v>-3.786560011820602</c:v>
                </c:pt>
                <c:pt idx="378">
                  <c:v>-3.629830583154372</c:v>
                </c:pt>
                <c:pt idx="379">
                  <c:v>-3.4723759342914997</c:v>
                </c:pt>
                <c:pt idx="380">
                  <c:v>-3.3141970345555611</c:v>
                </c:pt>
                <c:pt idx="381">
                  <c:v>-3.1552948510860204</c:v>
                </c:pt>
                <c:pt idx="382">
                  <c:v>-2.9956703488450187</c:v>
                </c:pt>
                <c:pt idx="383">
                  <c:v>-2.8353244906241168</c:v>
                </c:pt>
                <c:pt idx="384">
                  <c:v>-2.6742582370510704</c:v>
                </c:pt>
                <c:pt idx="385">
                  <c:v>-2.5124725465964839</c:v>
                </c:pt>
                <c:pt idx="386">
                  <c:v>-2.3499683755805361</c:v>
                </c:pt>
                <c:pt idx="387">
                  <c:v>-2.1867466781795866</c:v>
                </c:pt>
                <c:pt idx="388">
                  <c:v>-2.0228084064328122</c:v>
                </c:pt>
                <c:pt idx="389">
                  <c:v>-1.8581545102487671</c:v>
                </c:pt>
                <c:pt idx="390">
                  <c:v>-1.6927859374119549</c:v>
                </c:pt>
                <c:pt idx="391">
                  <c:v>-1.526703633589344</c:v>
                </c:pt>
                <c:pt idx="392">
                  <c:v>-1.3599085423368722</c:v>
                </c:pt>
                <c:pt idx="393">
                  <c:v>-1.1924016051058706</c:v>
                </c:pt>
                <c:pt idx="394">
                  <c:v>-1.024183761249561</c:v>
                </c:pt>
                <c:pt idx="395">
                  <c:v>-0.85525594802937999</c:v>
                </c:pt>
                <c:pt idx="396">
                  <c:v>-0.68561910062144005</c:v>
                </c:pt>
                <c:pt idx="397">
                  <c:v>-0.5152741521227755</c:v>
                </c:pt>
                <c:pt idx="398">
                  <c:v>-0.34422203355773551</c:v>
                </c:pt>
                <c:pt idx="399">
                  <c:v>-0.17246367388423334</c:v>
                </c:pt>
                <c:pt idx="400">
                  <c:v>-9.7699626167013776E-15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AC-4A72-99BB-11DA7832C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423000"/>
        <c:axId val="758420376"/>
      </c:scatterChart>
      <c:valAx>
        <c:axId val="758423000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 (mm)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58420376"/>
        <c:crosses val="autoZero"/>
        <c:crossBetween val="midCat"/>
      </c:valAx>
      <c:valAx>
        <c:axId val="7584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Height</a:t>
                </a:r>
                <a:r>
                  <a:rPr lang="en-US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(um)</a:t>
                </a:r>
                <a:endParaRPr lang="en-US" sz="12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58423000"/>
        <c:crosses val="autoZero"/>
        <c:crossBetween val="midCat"/>
      </c:valAx>
      <c:spPr>
        <a:effectLst/>
      </c:spPr>
    </c:plotArea>
    <c:plotVisOnly val="1"/>
    <c:dispBlanksAs val="gap"/>
    <c:showDLblsOverMax val="0"/>
    <c:extLst/>
  </c:chart>
  <c:spPr>
    <a:ln w="12700">
      <a:solidFill>
        <a:schemeClr val="tx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70C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>
                <a:solidFill>
                  <a:srgbClr val="0070C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Slope error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0017224409448825E-2"/>
          <c:y val="0.14356372120151648"/>
          <c:w val="0.87442722003499562"/>
          <c:h val="0.77790099154272385"/>
        </c:manualLayout>
      </c:layout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CALCULATIONS!$N$30:$N$430</c:f>
              <c:numCache>
                <c:formatCode>General</c:formatCode>
                <c:ptCount val="401"/>
                <c:pt idx="0">
                  <c:v>-138</c:v>
                </c:pt>
                <c:pt idx="1">
                  <c:v>-137.31</c:v>
                </c:pt>
                <c:pt idx="2">
                  <c:v>-136.62</c:v>
                </c:pt>
                <c:pt idx="3">
                  <c:v>-135.93</c:v>
                </c:pt>
                <c:pt idx="4">
                  <c:v>-135.24</c:v>
                </c:pt>
                <c:pt idx="5">
                  <c:v>-134.55000000000001</c:v>
                </c:pt>
                <c:pt idx="6">
                  <c:v>-133.86000000000001</c:v>
                </c:pt>
                <c:pt idx="7">
                  <c:v>-133.17000000000002</c:v>
                </c:pt>
                <c:pt idx="8">
                  <c:v>-132.48000000000002</c:v>
                </c:pt>
                <c:pt idx="9">
                  <c:v>-131.79000000000002</c:v>
                </c:pt>
                <c:pt idx="10">
                  <c:v>-131.10000000000002</c:v>
                </c:pt>
                <c:pt idx="11">
                  <c:v>-130.41000000000003</c:v>
                </c:pt>
                <c:pt idx="12">
                  <c:v>-129.72000000000003</c:v>
                </c:pt>
                <c:pt idx="13">
                  <c:v>-129.03000000000003</c:v>
                </c:pt>
                <c:pt idx="14">
                  <c:v>-128.34000000000003</c:v>
                </c:pt>
                <c:pt idx="15">
                  <c:v>-127.65000000000003</c:v>
                </c:pt>
                <c:pt idx="16">
                  <c:v>-126.96000000000004</c:v>
                </c:pt>
                <c:pt idx="17">
                  <c:v>-126.27000000000004</c:v>
                </c:pt>
                <c:pt idx="18">
                  <c:v>-125.58000000000004</c:v>
                </c:pt>
                <c:pt idx="19">
                  <c:v>-124.89000000000004</c:v>
                </c:pt>
                <c:pt idx="20">
                  <c:v>-124.20000000000005</c:v>
                </c:pt>
                <c:pt idx="21">
                  <c:v>-123.51000000000005</c:v>
                </c:pt>
                <c:pt idx="22">
                  <c:v>-122.82000000000005</c:v>
                </c:pt>
                <c:pt idx="23">
                  <c:v>-122.13000000000005</c:v>
                </c:pt>
                <c:pt idx="24">
                  <c:v>-121.44000000000005</c:v>
                </c:pt>
                <c:pt idx="25">
                  <c:v>-120.75000000000006</c:v>
                </c:pt>
                <c:pt idx="26">
                  <c:v>-120.06000000000006</c:v>
                </c:pt>
                <c:pt idx="27">
                  <c:v>-119.37000000000006</c:v>
                </c:pt>
                <c:pt idx="28">
                  <c:v>-118.68000000000006</c:v>
                </c:pt>
                <c:pt idx="29">
                  <c:v>-117.99000000000007</c:v>
                </c:pt>
                <c:pt idx="30">
                  <c:v>-117.30000000000007</c:v>
                </c:pt>
                <c:pt idx="31">
                  <c:v>-116.61000000000007</c:v>
                </c:pt>
                <c:pt idx="32">
                  <c:v>-115.92000000000007</c:v>
                </c:pt>
                <c:pt idx="33">
                  <c:v>-115.23000000000008</c:v>
                </c:pt>
                <c:pt idx="34">
                  <c:v>-114.54000000000008</c:v>
                </c:pt>
                <c:pt idx="35">
                  <c:v>-113.85000000000008</c:v>
                </c:pt>
                <c:pt idx="36">
                  <c:v>-113.16000000000008</c:v>
                </c:pt>
                <c:pt idx="37">
                  <c:v>-112.47000000000008</c:v>
                </c:pt>
                <c:pt idx="38">
                  <c:v>-111.78000000000009</c:v>
                </c:pt>
                <c:pt idx="39">
                  <c:v>-111.09000000000009</c:v>
                </c:pt>
                <c:pt idx="40">
                  <c:v>-110.40000000000009</c:v>
                </c:pt>
                <c:pt idx="41">
                  <c:v>-109.71000000000009</c:v>
                </c:pt>
                <c:pt idx="42">
                  <c:v>-109.0200000000001</c:v>
                </c:pt>
                <c:pt idx="43">
                  <c:v>-108.3300000000001</c:v>
                </c:pt>
                <c:pt idx="44">
                  <c:v>-107.6400000000001</c:v>
                </c:pt>
                <c:pt idx="45">
                  <c:v>-106.9500000000001</c:v>
                </c:pt>
                <c:pt idx="46">
                  <c:v>-106.2600000000001</c:v>
                </c:pt>
                <c:pt idx="47">
                  <c:v>-105.57000000000011</c:v>
                </c:pt>
                <c:pt idx="48">
                  <c:v>-104.88000000000011</c:v>
                </c:pt>
                <c:pt idx="49">
                  <c:v>-104.19000000000011</c:v>
                </c:pt>
                <c:pt idx="50">
                  <c:v>-103.50000000000011</c:v>
                </c:pt>
                <c:pt idx="51">
                  <c:v>-102.81000000000012</c:v>
                </c:pt>
                <c:pt idx="52">
                  <c:v>-102.12000000000012</c:v>
                </c:pt>
                <c:pt idx="53">
                  <c:v>-101.43000000000012</c:v>
                </c:pt>
                <c:pt idx="54">
                  <c:v>-100.74000000000012</c:v>
                </c:pt>
                <c:pt idx="55">
                  <c:v>-100.05000000000013</c:v>
                </c:pt>
                <c:pt idx="56">
                  <c:v>-99.360000000000127</c:v>
                </c:pt>
                <c:pt idx="57">
                  <c:v>-98.67000000000013</c:v>
                </c:pt>
                <c:pt idx="58">
                  <c:v>-97.980000000000132</c:v>
                </c:pt>
                <c:pt idx="59">
                  <c:v>-97.290000000000134</c:v>
                </c:pt>
                <c:pt idx="60">
                  <c:v>-96.600000000000136</c:v>
                </c:pt>
                <c:pt idx="61">
                  <c:v>-95.910000000000139</c:v>
                </c:pt>
                <c:pt idx="62">
                  <c:v>-95.220000000000141</c:v>
                </c:pt>
                <c:pt idx="63">
                  <c:v>-94.530000000000143</c:v>
                </c:pt>
                <c:pt idx="64">
                  <c:v>-93.840000000000146</c:v>
                </c:pt>
                <c:pt idx="65">
                  <c:v>-93.150000000000148</c:v>
                </c:pt>
                <c:pt idx="66">
                  <c:v>-92.46000000000015</c:v>
                </c:pt>
                <c:pt idx="67">
                  <c:v>-91.770000000000152</c:v>
                </c:pt>
                <c:pt idx="68">
                  <c:v>-91.080000000000155</c:v>
                </c:pt>
                <c:pt idx="69">
                  <c:v>-90.390000000000157</c:v>
                </c:pt>
                <c:pt idx="70">
                  <c:v>-89.700000000000159</c:v>
                </c:pt>
                <c:pt idx="71">
                  <c:v>-89.010000000000161</c:v>
                </c:pt>
                <c:pt idx="72">
                  <c:v>-88.320000000000164</c:v>
                </c:pt>
                <c:pt idx="73">
                  <c:v>-87.630000000000166</c:v>
                </c:pt>
                <c:pt idx="74">
                  <c:v>-86.940000000000168</c:v>
                </c:pt>
                <c:pt idx="75">
                  <c:v>-86.250000000000171</c:v>
                </c:pt>
                <c:pt idx="76">
                  <c:v>-85.560000000000173</c:v>
                </c:pt>
                <c:pt idx="77">
                  <c:v>-84.870000000000175</c:v>
                </c:pt>
                <c:pt idx="78">
                  <c:v>-84.180000000000177</c:v>
                </c:pt>
                <c:pt idx="79">
                  <c:v>-83.49000000000018</c:v>
                </c:pt>
                <c:pt idx="80">
                  <c:v>-82.800000000000182</c:v>
                </c:pt>
                <c:pt idx="81">
                  <c:v>-82.110000000000184</c:v>
                </c:pt>
                <c:pt idx="82">
                  <c:v>-81.420000000000186</c:v>
                </c:pt>
                <c:pt idx="83">
                  <c:v>-80.730000000000189</c:v>
                </c:pt>
                <c:pt idx="84">
                  <c:v>-80.040000000000191</c:v>
                </c:pt>
                <c:pt idx="85">
                  <c:v>-79.350000000000193</c:v>
                </c:pt>
                <c:pt idx="86">
                  <c:v>-78.660000000000196</c:v>
                </c:pt>
                <c:pt idx="87">
                  <c:v>-77.970000000000198</c:v>
                </c:pt>
                <c:pt idx="88">
                  <c:v>-77.2800000000002</c:v>
                </c:pt>
                <c:pt idx="89">
                  <c:v>-76.590000000000202</c:v>
                </c:pt>
                <c:pt idx="90">
                  <c:v>-75.900000000000205</c:v>
                </c:pt>
                <c:pt idx="91">
                  <c:v>-75.210000000000207</c:v>
                </c:pt>
                <c:pt idx="92">
                  <c:v>-74.520000000000209</c:v>
                </c:pt>
                <c:pt idx="93">
                  <c:v>-73.830000000000211</c:v>
                </c:pt>
                <c:pt idx="94">
                  <c:v>-73.140000000000214</c:v>
                </c:pt>
                <c:pt idx="95">
                  <c:v>-72.450000000000216</c:v>
                </c:pt>
                <c:pt idx="96">
                  <c:v>-71.760000000000218</c:v>
                </c:pt>
                <c:pt idx="97">
                  <c:v>-71.070000000000221</c:v>
                </c:pt>
                <c:pt idx="98">
                  <c:v>-70.380000000000223</c:v>
                </c:pt>
                <c:pt idx="99">
                  <c:v>-69.690000000000225</c:v>
                </c:pt>
                <c:pt idx="100">
                  <c:v>-69.000000000000227</c:v>
                </c:pt>
                <c:pt idx="101">
                  <c:v>-68.31000000000023</c:v>
                </c:pt>
                <c:pt idx="102">
                  <c:v>-67.620000000000232</c:v>
                </c:pt>
                <c:pt idx="103">
                  <c:v>-66.930000000000234</c:v>
                </c:pt>
                <c:pt idx="104">
                  <c:v>-66.240000000000236</c:v>
                </c:pt>
                <c:pt idx="105">
                  <c:v>-65.550000000000239</c:v>
                </c:pt>
                <c:pt idx="106">
                  <c:v>-64.860000000000241</c:v>
                </c:pt>
                <c:pt idx="107">
                  <c:v>-64.170000000000243</c:v>
                </c:pt>
                <c:pt idx="108">
                  <c:v>-63.480000000000246</c:v>
                </c:pt>
                <c:pt idx="109">
                  <c:v>-62.790000000000248</c:v>
                </c:pt>
                <c:pt idx="110">
                  <c:v>-62.10000000000025</c:v>
                </c:pt>
                <c:pt idx="111">
                  <c:v>-61.410000000000252</c:v>
                </c:pt>
                <c:pt idx="112">
                  <c:v>-60.720000000000255</c:v>
                </c:pt>
                <c:pt idx="113">
                  <c:v>-60.030000000000257</c:v>
                </c:pt>
                <c:pt idx="114">
                  <c:v>-59.340000000000259</c:v>
                </c:pt>
                <c:pt idx="115">
                  <c:v>-58.650000000000261</c:v>
                </c:pt>
                <c:pt idx="116">
                  <c:v>-57.960000000000264</c:v>
                </c:pt>
                <c:pt idx="117">
                  <c:v>-57.270000000000266</c:v>
                </c:pt>
                <c:pt idx="118">
                  <c:v>-56.580000000000268</c:v>
                </c:pt>
                <c:pt idx="119">
                  <c:v>-55.890000000000271</c:v>
                </c:pt>
                <c:pt idx="120">
                  <c:v>-55.200000000000273</c:v>
                </c:pt>
                <c:pt idx="121">
                  <c:v>-54.510000000000275</c:v>
                </c:pt>
                <c:pt idx="122">
                  <c:v>-53.820000000000277</c:v>
                </c:pt>
                <c:pt idx="123">
                  <c:v>-53.13000000000028</c:v>
                </c:pt>
                <c:pt idx="124">
                  <c:v>-52.440000000000282</c:v>
                </c:pt>
                <c:pt idx="125">
                  <c:v>-51.750000000000284</c:v>
                </c:pt>
                <c:pt idx="126">
                  <c:v>-51.060000000000286</c:v>
                </c:pt>
                <c:pt idx="127">
                  <c:v>-50.370000000000289</c:v>
                </c:pt>
                <c:pt idx="128">
                  <c:v>-49.680000000000291</c:v>
                </c:pt>
                <c:pt idx="129">
                  <c:v>-48.990000000000293</c:v>
                </c:pt>
                <c:pt idx="130">
                  <c:v>-48.300000000000296</c:v>
                </c:pt>
                <c:pt idx="131">
                  <c:v>-47.610000000000298</c:v>
                </c:pt>
                <c:pt idx="132">
                  <c:v>-46.9200000000003</c:v>
                </c:pt>
                <c:pt idx="133">
                  <c:v>-46.230000000000302</c:v>
                </c:pt>
                <c:pt idx="134">
                  <c:v>-45.540000000000305</c:v>
                </c:pt>
                <c:pt idx="135">
                  <c:v>-44.850000000000307</c:v>
                </c:pt>
                <c:pt idx="136">
                  <c:v>-44.160000000000309</c:v>
                </c:pt>
                <c:pt idx="137">
                  <c:v>-43.470000000000312</c:v>
                </c:pt>
                <c:pt idx="138">
                  <c:v>-42.780000000000314</c:v>
                </c:pt>
                <c:pt idx="139">
                  <c:v>-42.090000000000316</c:v>
                </c:pt>
                <c:pt idx="140">
                  <c:v>-41.400000000000318</c:v>
                </c:pt>
                <c:pt idx="141">
                  <c:v>-40.710000000000321</c:v>
                </c:pt>
                <c:pt idx="142">
                  <c:v>-40.020000000000323</c:v>
                </c:pt>
                <c:pt idx="143">
                  <c:v>-39.330000000000325</c:v>
                </c:pt>
                <c:pt idx="144">
                  <c:v>-38.640000000000327</c:v>
                </c:pt>
                <c:pt idx="145">
                  <c:v>-37.95000000000033</c:v>
                </c:pt>
                <c:pt idx="146">
                  <c:v>-37.260000000000332</c:v>
                </c:pt>
                <c:pt idx="147">
                  <c:v>-36.570000000000334</c:v>
                </c:pt>
                <c:pt idx="148">
                  <c:v>-35.880000000000337</c:v>
                </c:pt>
                <c:pt idx="149">
                  <c:v>-35.190000000000339</c:v>
                </c:pt>
                <c:pt idx="150">
                  <c:v>-34.500000000000341</c:v>
                </c:pt>
                <c:pt idx="151">
                  <c:v>-33.810000000000343</c:v>
                </c:pt>
                <c:pt idx="152">
                  <c:v>-33.120000000000346</c:v>
                </c:pt>
                <c:pt idx="153">
                  <c:v>-32.430000000000348</c:v>
                </c:pt>
                <c:pt idx="154">
                  <c:v>-31.740000000000347</c:v>
                </c:pt>
                <c:pt idx="155">
                  <c:v>-31.050000000000345</c:v>
                </c:pt>
                <c:pt idx="156">
                  <c:v>-30.360000000000344</c:v>
                </c:pt>
                <c:pt idx="157">
                  <c:v>-29.670000000000343</c:v>
                </c:pt>
                <c:pt idx="158">
                  <c:v>-28.980000000000341</c:v>
                </c:pt>
                <c:pt idx="159">
                  <c:v>-28.29000000000034</c:v>
                </c:pt>
                <c:pt idx="160">
                  <c:v>-27.600000000000339</c:v>
                </c:pt>
                <c:pt idx="161">
                  <c:v>-26.910000000000338</c:v>
                </c:pt>
                <c:pt idx="162">
                  <c:v>-26.220000000000336</c:v>
                </c:pt>
                <c:pt idx="163">
                  <c:v>-25.530000000000335</c:v>
                </c:pt>
                <c:pt idx="164">
                  <c:v>-24.840000000000334</c:v>
                </c:pt>
                <c:pt idx="165">
                  <c:v>-24.150000000000333</c:v>
                </c:pt>
                <c:pt idx="166">
                  <c:v>-23.460000000000331</c:v>
                </c:pt>
                <c:pt idx="167">
                  <c:v>-22.77000000000033</c:v>
                </c:pt>
                <c:pt idx="168">
                  <c:v>-22.080000000000329</c:v>
                </c:pt>
                <c:pt idx="169">
                  <c:v>-21.390000000000327</c:v>
                </c:pt>
                <c:pt idx="170">
                  <c:v>-20.700000000000326</c:v>
                </c:pt>
                <c:pt idx="171">
                  <c:v>-20.010000000000325</c:v>
                </c:pt>
                <c:pt idx="172">
                  <c:v>-19.320000000000324</c:v>
                </c:pt>
                <c:pt idx="173">
                  <c:v>-18.630000000000322</c:v>
                </c:pt>
                <c:pt idx="174">
                  <c:v>-17.940000000000321</c:v>
                </c:pt>
                <c:pt idx="175">
                  <c:v>-17.25000000000032</c:v>
                </c:pt>
                <c:pt idx="176">
                  <c:v>-16.560000000000318</c:v>
                </c:pt>
                <c:pt idx="177">
                  <c:v>-15.870000000000319</c:v>
                </c:pt>
                <c:pt idx="178">
                  <c:v>-15.180000000000319</c:v>
                </c:pt>
                <c:pt idx="179">
                  <c:v>-14.49000000000032</c:v>
                </c:pt>
                <c:pt idx="180">
                  <c:v>-13.80000000000032</c:v>
                </c:pt>
                <c:pt idx="181">
                  <c:v>-13.110000000000321</c:v>
                </c:pt>
                <c:pt idx="182">
                  <c:v>-12.420000000000321</c:v>
                </c:pt>
                <c:pt idx="183">
                  <c:v>-11.730000000000322</c:v>
                </c:pt>
                <c:pt idx="184">
                  <c:v>-11.040000000000322</c:v>
                </c:pt>
                <c:pt idx="185">
                  <c:v>-10.350000000000323</c:v>
                </c:pt>
                <c:pt idx="186">
                  <c:v>-9.6600000000003234</c:v>
                </c:pt>
                <c:pt idx="187">
                  <c:v>-8.9700000000003239</c:v>
                </c:pt>
                <c:pt idx="188">
                  <c:v>-8.2800000000003244</c:v>
                </c:pt>
                <c:pt idx="189">
                  <c:v>-7.5900000000003249</c:v>
                </c:pt>
                <c:pt idx="190">
                  <c:v>-6.9000000000003254</c:v>
                </c:pt>
                <c:pt idx="191">
                  <c:v>-6.2100000000003259</c:v>
                </c:pt>
                <c:pt idx="192">
                  <c:v>-5.5200000000003264</c:v>
                </c:pt>
                <c:pt idx="193">
                  <c:v>-4.8300000000003269</c:v>
                </c:pt>
                <c:pt idx="194">
                  <c:v>-4.1400000000003274</c:v>
                </c:pt>
                <c:pt idx="195">
                  <c:v>-3.4500000000003275</c:v>
                </c:pt>
                <c:pt idx="196">
                  <c:v>-2.7600000000003275</c:v>
                </c:pt>
                <c:pt idx="197">
                  <c:v>-2.0700000000003276</c:v>
                </c:pt>
                <c:pt idx="198">
                  <c:v>-1.3800000000003276</c:v>
                </c:pt>
                <c:pt idx="199">
                  <c:v>-0.69000000000032768</c:v>
                </c:pt>
                <c:pt idx="200">
                  <c:v>-3.2773783686934621E-13</c:v>
                </c:pt>
                <c:pt idx="201">
                  <c:v>0.68999999999967221</c:v>
                </c:pt>
                <c:pt idx="202">
                  <c:v>1.3799999999996722</c:v>
                </c:pt>
                <c:pt idx="203">
                  <c:v>2.0699999999996721</c:v>
                </c:pt>
                <c:pt idx="204">
                  <c:v>2.759999999999672</c:v>
                </c:pt>
                <c:pt idx="205">
                  <c:v>3.449999999999672</c:v>
                </c:pt>
                <c:pt idx="206">
                  <c:v>4.1399999999996719</c:v>
                </c:pt>
                <c:pt idx="207">
                  <c:v>4.8299999999996714</c:v>
                </c:pt>
                <c:pt idx="208">
                  <c:v>5.5199999999996709</c:v>
                </c:pt>
                <c:pt idx="209">
                  <c:v>6.2099999999996705</c:v>
                </c:pt>
                <c:pt idx="210">
                  <c:v>6.89999999999967</c:v>
                </c:pt>
                <c:pt idx="211">
                  <c:v>7.5899999999996695</c:v>
                </c:pt>
                <c:pt idx="212">
                  <c:v>8.279999999999669</c:v>
                </c:pt>
                <c:pt idx="213">
                  <c:v>8.9699999999996685</c:v>
                </c:pt>
                <c:pt idx="214">
                  <c:v>9.659999999999668</c:v>
                </c:pt>
                <c:pt idx="215">
                  <c:v>10.349999999999667</c:v>
                </c:pt>
                <c:pt idx="216">
                  <c:v>11.039999999999667</c:v>
                </c:pt>
                <c:pt idx="217">
                  <c:v>11.729999999999666</c:v>
                </c:pt>
                <c:pt idx="218">
                  <c:v>12.419999999999666</c:v>
                </c:pt>
                <c:pt idx="219">
                  <c:v>13.109999999999665</c:v>
                </c:pt>
                <c:pt idx="220">
                  <c:v>13.799999999999665</c:v>
                </c:pt>
                <c:pt idx="221">
                  <c:v>14.489999999999664</c:v>
                </c:pt>
                <c:pt idx="222">
                  <c:v>15.179999999999664</c:v>
                </c:pt>
                <c:pt idx="223">
                  <c:v>15.869999999999663</c:v>
                </c:pt>
                <c:pt idx="224">
                  <c:v>16.559999999999665</c:v>
                </c:pt>
                <c:pt idx="225">
                  <c:v>17.249999999999666</c:v>
                </c:pt>
                <c:pt idx="226">
                  <c:v>17.939999999999667</c:v>
                </c:pt>
                <c:pt idx="227">
                  <c:v>18.629999999999669</c:v>
                </c:pt>
                <c:pt idx="228">
                  <c:v>19.31999999999967</c:v>
                </c:pt>
                <c:pt idx="229">
                  <c:v>20.009999999999671</c:v>
                </c:pt>
                <c:pt idx="230">
                  <c:v>20.699999999999672</c:v>
                </c:pt>
                <c:pt idx="231">
                  <c:v>21.389999999999674</c:v>
                </c:pt>
                <c:pt idx="232">
                  <c:v>22.079999999999675</c:v>
                </c:pt>
                <c:pt idx="233">
                  <c:v>22.769999999999676</c:v>
                </c:pt>
                <c:pt idx="234">
                  <c:v>23.459999999999678</c:v>
                </c:pt>
                <c:pt idx="235">
                  <c:v>24.149999999999679</c:v>
                </c:pt>
                <c:pt idx="236">
                  <c:v>24.83999999999968</c:v>
                </c:pt>
                <c:pt idx="237">
                  <c:v>25.529999999999681</c:v>
                </c:pt>
                <c:pt idx="238">
                  <c:v>26.219999999999683</c:v>
                </c:pt>
                <c:pt idx="239">
                  <c:v>26.909999999999684</c:v>
                </c:pt>
                <c:pt idx="240">
                  <c:v>27.599999999999685</c:v>
                </c:pt>
                <c:pt idx="241">
                  <c:v>28.289999999999687</c:v>
                </c:pt>
                <c:pt idx="242">
                  <c:v>28.979999999999688</c:v>
                </c:pt>
                <c:pt idx="243">
                  <c:v>29.669999999999689</c:v>
                </c:pt>
                <c:pt idx="244">
                  <c:v>30.35999999999969</c:v>
                </c:pt>
                <c:pt idx="245">
                  <c:v>31.049999999999692</c:v>
                </c:pt>
                <c:pt idx="246">
                  <c:v>31.739999999999693</c:v>
                </c:pt>
                <c:pt idx="247">
                  <c:v>32.429999999999694</c:v>
                </c:pt>
                <c:pt idx="248">
                  <c:v>33.119999999999692</c:v>
                </c:pt>
                <c:pt idx="249">
                  <c:v>33.80999999999969</c:v>
                </c:pt>
                <c:pt idx="250">
                  <c:v>34.499999999999687</c:v>
                </c:pt>
                <c:pt idx="251">
                  <c:v>35.189999999999685</c:v>
                </c:pt>
                <c:pt idx="252">
                  <c:v>35.879999999999683</c:v>
                </c:pt>
                <c:pt idx="253">
                  <c:v>36.569999999999681</c:v>
                </c:pt>
                <c:pt idx="254">
                  <c:v>37.259999999999678</c:v>
                </c:pt>
                <c:pt idx="255">
                  <c:v>37.949999999999676</c:v>
                </c:pt>
                <c:pt idx="256">
                  <c:v>38.639999999999674</c:v>
                </c:pt>
                <c:pt idx="257">
                  <c:v>39.329999999999671</c:v>
                </c:pt>
                <c:pt idx="258">
                  <c:v>40.019999999999669</c:v>
                </c:pt>
                <c:pt idx="259">
                  <c:v>40.709999999999667</c:v>
                </c:pt>
                <c:pt idx="260">
                  <c:v>41.399999999999665</c:v>
                </c:pt>
                <c:pt idx="261">
                  <c:v>42.089999999999662</c:v>
                </c:pt>
                <c:pt idx="262">
                  <c:v>42.77999999999966</c:v>
                </c:pt>
                <c:pt idx="263">
                  <c:v>43.469999999999658</c:v>
                </c:pt>
                <c:pt idx="264">
                  <c:v>44.159999999999656</c:v>
                </c:pt>
                <c:pt idx="265">
                  <c:v>44.849999999999653</c:v>
                </c:pt>
                <c:pt idx="266">
                  <c:v>45.539999999999651</c:v>
                </c:pt>
                <c:pt idx="267">
                  <c:v>46.229999999999649</c:v>
                </c:pt>
                <c:pt idx="268">
                  <c:v>46.919999999999646</c:v>
                </c:pt>
                <c:pt idx="269">
                  <c:v>47.609999999999644</c:v>
                </c:pt>
                <c:pt idx="270">
                  <c:v>48.299999999999642</c:v>
                </c:pt>
                <c:pt idx="271">
                  <c:v>48.98999999999964</c:v>
                </c:pt>
                <c:pt idx="272">
                  <c:v>49.679999999999637</c:v>
                </c:pt>
                <c:pt idx="273">
                  <c:v>50.369999999999635</c:v>
                </c:pt>
                <c:pt idx="274">
                  <c:v>51.059999999999633</c:v>
                </c:pt>
                <c:pt idx="275">
                  <c:v>51.749999999999631</c:v>
                </c:pt>
                <c:pt idx="276">
                  <c:v>52.439999999999628</c:v>
                </c:pt>
                <c:pt idx="277">
                  <c:v>53.129999999999626</c:v>
                </c:pt>
                <c:pt idx="278">
                  <c:v>53.819999999999624</c:v>
                </c:pt>
                <c:pt idx="279">
                  <c:v>54.509999999999621</c:v>
                </c:pt>
                <c:pt idx="280">
                  <c:v>55.199999999999619</c:v>
                </c:pt>
                <c:pt idx="281">
                  <c:v>55.889999999999617</c:v>
                </c:pt>
                <c:pt idx="282">
                  <c:v>56.579999999999615</c:v>
                </c:pt>
                <c:pt idx="283">
                  <c:v>57.269999999999612</c:v>
                </c:pt>
                <c:pt idx="284">
                  <c:v>57.95999999999961</c:v>
                </c:pt>
                <c:pt idx="285">
                  <c:v>58.649999999999608</c:v>
                </c:pt>
                <c:pt idx="286">
                  <c:v>59.339999999999606</c:v>
                </c:pt>
                <c:pt idx="287">
                  <c:v>60.029999999999603</c:v>
                </c:pt>
                <c:pt idx="288">
                  <c:v>60.719999999999601</c:v>
                </c:pt>
                <c:pt idx="289">
                  <c:v>61.409999999999599</c:v>
                </c:pt>
                <c:pt idx="290">
                  <c:v>62.099999999999596</c:v>
                </c:pt>
                <c:pt idx="291">
                  <c:v>62.789999999999594</c:v>
                </c:pt>
                <c:pt idx="292">
                  <c:v>63.479999999999592</c:v>
                </c:pt>
                <c:pt idx="293">
                  <c:v>64.16999999999959</c:v>
                </c:pt>
                <c:pt idx="294">
                  <c:v>64.859999999999587</c:v>
                </c:pt>
                <c:pt idx="295">
                  <c:v>65.549999999999585</c:v>
                </c:pt>
                <c:pt idx="296">
                  <c:v>66.239999999999583</c:v>
                </c:pt>
                <c:pt idx="297">
                  <c:v>66.92999999999958</c:v>
                </c:pt>
                <c:pt idx="298">
                  <c:v>67.619999999999578</c:v>
                </c:pt>
                <c:pt idx="299">
                  <c:v>68.309999999999576</c:v>
                </c:pt>
                <c:pt idx="300">
                  <c:v>68.999999999999574</c:v>
                </c:pt>
                <c:pt idx="301">
                  <c:v>69.689999999999571</c:v>
                </c:pt>
                <c:pt idx="302">
                  <c:v>70.379999999999569</c:v>
                </c:pt>
                <c:pt idx="303">
                  <c:v>71.069999999999567</c:v>
                </c:pt>
                <c:pt idx="304">
                  <c:v>71.759999999999565</c:v>
                </c:pt>
                <c:pt idx="305">
                  <c:v>72.449999999999562</c:v>
                </c:pt>
                <c:pt idx="306">
                  <c:v>73.13999999999956</c:v>
                </c:pt>
                <c:pt idx="307">
                  <c:v>73.829999999999558</c:v>
                </c:pt>
                <c:pt idx="308">
                  <c:v>74.519999999999555</c:v>
                </c:pt>
                <c:pt idx="309">
                  <c:v>75.209999999999553</c:v>
                </c:pt>
                <c:pt idx="310">
                  <c:v>75.899999999999551</c:v>
                </c:pt>
                <c:pt idx="311">
                  <c:v>76.589999999999549</c:v>
                </c:pt>
                <c:pt idx="312">
                  <c:v>77.279999999999546</c:v>
                </c:pt>
                <c:pt idx="313">
                  <c:v>77.969999999999544</c:v>
                </c:pt>
                <c:pt idx="314">
                  <c:v>78.659999999999542</c:v>
                </c:pt>
                <c:pt idx="315">
                  <c:v>79.34999999999954</c:v>
                </c:pt>
                <c:pt idx="316">
                  <c:v>80.039999999999537</c:v>
                </c:pt>
                <c:pt idx="317">
                  <c:v>80.729999999999535</c:v>
                </c:pt>
                <c:pt idx="318">
                  <c:v>81.419999999999533</c:v>
                </c:pt>
                <c:pt idx="319">
                  <c:v>82.10999999999953</c:v>
                </c:pt>
                <c:pt idx="320">
                  <c:v>82.799999999999528</c:v>
                </c:pt>
                <c:pt idx="321">
                  <c:v>83.489999999999526</c:v>
                </c:pt>
                <c:pt idx="322">
                  <c:v>84.179999999999524</c:v>
                </c:pt>
                <c:pt idx="323">
                  <c:v>84.869999999999521</c:v>
                </c:pt>
                <c:pt idx="324">
                  <c:v>85.559999999999519</c:v>
                </c:pt>
                <c:pt idx="325">
                  <c:v>86.249999999999517</c:v>
                </c:pt>
                <c:pt idx="326">
                  <c:v>86.939999999999515</c:v>
                </c:pt>
                <c:pt idx="327">
                  <c:v>87.629999999999512</c:v>
                </c:pt>
                <c:pt idx="328">
                  <c:v>88.31999999999951</c:v>
                </c:pt>
                <c:pt idx="329">
                  <c:v>89.009999999999508</c:v>
                </c:pt>
                <c:pt idx="330">
                  <c:v>89.699999999999505</c:v>
                </c:pt>
                <c:pt idx="331">
                  <c:v>90.389999999999503</c:v>
                </c:pt>
                <c:pt idx="332">
                  <c:v>91.079999999999501</c:v>
                </c:pt>
                <c:pt idx="333">
                  <c:v>91.769999999999499</c:v>
                </c:pt>
                <c:pt idx="334">
                  <c:v>92.459999999999496</c:v>
                </c:pt>
                <c:pt idx="335">
                  <c:v>93.149999999999494</c:v>
                </c:pt>
                <c:pt idx="336">
                  <c:v>93.839999999999492</c:v>
                </c:pt>
                <c:pt idx="337">
                  <c:v>94.52999999999949</c:v>
                </c:pt>
                <c:pt idx="338">
                  <c:v>95.219999999999487</c:v>
                </c:pt>
                <c:pt idx="339">
                  <c:v>95.909999999999485</c:v>
                </c:pt>
                <c:pt idx="340">
                  <c:v>96.599999999999483</c:v>
                </c:pt>
                <c:pt idx="341">
                  <c:v>97.28999999999948</c:v>
                </c:pt>
                <c:pt idx="342">
                  <c:v>97.979999999999478</c:v>
                </c:pt>
                <c:pt idx="343">
                  <c:v>98.669999999999476</c:v>
                </c:pt>
                <c:pt idx="344">
                  <c:v>99.359999999999474</c:v>
                </c:pt>
                <c:pt idx="345">
                  <c:v>100.04999999999947</c:v>
                </c:pt>
                <c:pt idx="346">
                  <c:v>100.73999999999947</c:v>
                </c:pt>
                <c:pt idx="347">
                  <c:v>101.42999999999947</c:v>
                </c:pt>
                <c:pt idx="348">
                  <c:v>102.11999999999946</c:v>
                </c:pt>
                <c:pt idx="349">
                  <c:v>102.80999999999946</c:v>
                </c:pt>
                <c:pt idx="350">
                  <c:v>103.49999999999946</c:v>
                </c:pt>
                <c:pt idx="351">
                  <c:v>104.18999999999946</c:v>
                </c:pt>
                <c:pt idx="352">
                  <c:v>104.87999999999946</c:v>
                </c:pt>
                <c:pt idx="353">
                  <c:v>105.56999999999945</c:v>
                </c:pt>
                <c:pt idx="354">
                  <c:v>106.25999999999945</c:v>
                </c:pt>
                <c:pt idx="355">
                  <c:v>106.94999999999945</c:v>
                </c:pt>
                <c:pt idx="356">
                  <c:v>107.63999999999945</c:v>
                </c:pt>
                <c:pt idx="357">
                  <c:v>108.32999999999944</c:v>
                </c:pt>
                <c:pt idx="358">
                  <c:v>109.01999999999944</c:v>
                </c:pt>
                <c:pt idx="359">
                  <c:v>109.70999999999944</c:v>
                </c:pt>
                <c:pt idx="360">
                  <c:v>110.39999999999944</c:v>
                </c:pt>
                <c:pt idx="361">
                  <c:v>111.08999999999943</c:v>
                </c:pt>
                <c:pt idx="362">
                  <c:v>111.77999999999943</c:v>
                </c:pt>
                <c:pt idx="363">
                  <c:v>112.46999999999943</c:v>
                </c:pt>
                <c:pt idx="364">
                  <c:v>113.15999999999943</c:v>
                </c:pt>
                <c:pt idx="365">
                  <c:v>113.84999999999943</c:v>
                </c:pt>
                <c:pt idx="366">
                  <c:v>114.53999999999942</c:v>
                </c:pt>
                <c:pt idx="367">
                  <c:v>115.22999999999942</c:v>
                </c:pt>
                <c:pt idx="368">
                  <c:v>115.91999999999942</c:v>
                </c:pt>
                <c:pt idx="369">
                  <c:v>116.60999999999942</c:v>
                </c:pt>
                <c:pt idx="370">
                  <c:v>117.29999999999941</c:v>
                </c:pt>
                <c:pt idx="371">
                  <c:v>117.98999999999941</c:v>
                </c:pt>
                <c:pt idx="372">
                  <c:v>118.67999999999941</c:v>
                </c:pt>
                <c:pt idx="373">
                  <c:v>119.36999999999941</c:v>
                </c:pt>
                <c:pt idx="374">
                  <c:v>120.05999999999941</c:v>
                </c:pt>
                <c:pt idx="375">
                  <c:v>120.7499999999994</c:v>
                </c:pt>
                <c:pt idx="376">
                  <c:v>121.4399999999994</c:v>
                </c:pt>
                <c:pt idx="377">
                  <c:v>122.1299999999994</c:v>
                </c:pt>
                <c:pt idx="378">
                  <c:v>122.8199999999994</c:v>
                </c:pt>
                <c:pt idx="379">
                  <c:v>123.50999999999939</c:v>
                </c:pt>
                <c:pt idx="380">
                  <c:v>124.19999999999939</c:v>
                </c:pt>
                <c:pt idx="381">
                  <c:v>124.88999999999939</c:v>
                </c:pt>
                <c:pt idx="382">
                  <c:v>125.57999999999939</c:v>
                </c:pt>
                <c:pt idx="383">
                  <c:v>126.26999999999938</c:v>
                </c:pt>
                <c:pt idx="384">
                  <c:v>126.95999999999938</c:v>
                </c:pt>
                <c:pt idx="385">
                  <c:v>127.64999999999938</c:v>
                </c:pt>
                <c:pt idx="386">
                  <c:v>128.33999999999938</c:v>
                </c:pt>
                <c:pt idx="387">
                  <c:v>129.02999999999938</c:v>
                </c:pt>
                <c:pt idx="388">
                  <c:v>129.71999999999937</c:v>
                </c:pt>
                <c:pt idx="389">
                  <c:v>130.40999999999937</c:v>
                </c:pt>
                <c:pt idx="390">
                  <c:v>131.09999999999937</c:v>
                </c:pt>
                <c:pt idx="391">
                  <c:v>131.78999999999937</c:v>
                </c:pt>
                <c:pt idx="392">
                  <c:v>132.47999999999936</c:v>
                </c:pt>
                <c:pt idx="393">
                  <c:v>133.16999999999936</c:v>
                </c:pt>
                <c:pt idx="394">
                  <c:v>133.85999999999936</c:v>
                </c:pt>
                <c:pt idx="395">
                  <c:v>134.54999999999936</c:v>
                </c:pt>
                <c:pt idx="396">
                  <c:v>135.23999999999936</c:v>
                </c:pt>
                <c:pt idx="397">
                  <c:v>135.92999999999935</c:v>
                </c:pt>
                <c:pt idx="398">
                  <c:v>136.61999999999935</c:v>
                </c:pt>
                <c:pt idx="399">
                  <c:v>137.30999999999935</c:v>
                </c:pt>
                <c:pt idx="400">
                  <c:v>137.99999999999935</c:v>
                </c:pt>
              </c:numCache>
            </c:numRef>
          </c:xVal>
          <c:yVal>
            <c:numRef>
              <c:f>CALCULATIONS!$R$30:$R$430</c:f>
              <c:numCache>
                <c:formatCode>General</c:formatCode>
                <c:ptCount val="401"/>
                <c:pt idx="0">
                  <c:v>16.446927623405827</c:v>
                </c:pt>
                <c:pt idx="1">
                  <c:v>15.157787402813483</c:v>
                </c:pt>
                <c:pt idx="2">
                  <c:v>13.913286800573132</c:v>
                </c:pt>
                <c:pt idx="3">
                  <c:v>12.712494440052069</c:v>
                </c:pt>
                <c:pt idx="4">
                  <c:v>11.554491759227403</c:v>
                </c:pt>
                <c:pt idx="5">
                  <c:v>10.438373336398854</c:v>
                </c:pt>
                <c:pt idx="6">
                  <c:v>9.3632447074583069</c:v>
                </c:pt>
                <c:pt idx="7">
                  <c:v>8.3282253238508019</c:v>
                </c:pt>
                <c:pt idx="8">
                  <c:v>7.332459296151228</c:v>
                </c:pt>
                <c:pt idx="9">
                  <c:v>6.3750770856927375</c:v>
                </c:pt>
                <c:pt idx="10">
                  <c:v>5.4552601467889872</c:v>
                </c:pt>
                <c:pt idx="11">
                  <c:v>4.5721514616730019</c:v>
                </c:pt>
                <c:pt idx="12">
                  <c:v>3.7249637047125361</c:v>
                </c:pt>
                <c:pt idx="13">
                  <c:v>2.9128794155326432</c:v>
                </c:pt>
                <c:pt idx="14">
                  <c:v>2.1351131774167698</c:v>
                </c:pt>
                <c:pt idx="15">
                  <c:v>1.390886019635218</c:v>
                </c:pt>
                <c:pt idx="16">
                  <c:v>0.6794285473574746</c:v>
                </c:pt>
                <c:pt idx="17">
                  <c:v>-1.6155809134943411E-5</c:v>
                </c:pt>
                <c:pt idx="18">
                  <c:v>-0.64818463607707599</c:v>
                </c:pt>
                <c:pt idx="19">
                  <c:v>-1.2658155636131596</c:v>
                </c:pt>
                <c:pt idx="20">
                  <c:v>-1.8536291092914325</c:v>
                </c:pt>
                <c:pt idx="21">
                  <c:v>-2.4123238292190763</c:v>
                </c:pt>
                <c:pt idx="22">
                  <c:v>-2.9426253173596706</c:v>
                </c:pt>
                <c:pt idx="23">
                  <c:v>-3.4451982875793874</c:v>
                </c:pt>
                <c:pt idx="24">
                  <c:v>-3.9207158051226543</c:v>
                </c:pt>
                <c:pt idx="25">
                  <c:v>-4.3698666008822329</c:v>
                </c:pt>
                <c:pt idx="26">
                  <c:v>-4.7932904282674826</c:v>
                </c:pt>
                <c:pt idx="27">
                  <c:v>-5.19164724988741</c:v>
                </c:pt>
                <c:pt idx="28">
                  <c:v>-5.5655550708024748</c:v>
                </c:pt>
                <c:pt idx="29">
                  <c:v>-5.915656581720441</c:v>
                </c:pt>
                <c:pt idx="30">
                  <c:v>-6.2425544851123504</c:v>
                </c:pt>
                <c:pt idx="31">
                  <c:v>-6.5468754870607881</c:v>
                </c:pt>
                <c:pt idx="32">
                  <c:v>-6.8291799470614478</c:v>
                </c:pt>
                <c:pt idx="33">
                  <c:v>-7.0900927319996754</c:v>
                </c:pt>
                <c:pt idx="34">
                  <c:v>-7.3301743532283581</c:v>
                </c:pt>
                <c:pt idx="35">
                  <c:v>-7.5499822608833256</c:v>
                </c:pt>
                <c:pt idx="36">
                  <c:v>-7.7501092947329653</c:v>
                </c:pt>
                <c:pt idx="37">
                  <c:v>-7.931064821207201</c:v>
                </c:pt>
                <c:pt idx="38">
                  <c:v>-8.0934161287018469</c:v>
                </c:pt>
                <c:pt idx="39">
                  <c:v>-8.2376954034089067</c:v>
                </c:pt>
                <c:pt idx="40">
                  <c:v>-8.3644096817465652</c:v>
                </c:pt>
                <c:pt idx="41">
                  <c:v>-8.474086967794392</c:v>
                </c:pt>
                <c:pt idx="42">
                  <c:v>-8.5672346546346034</c:v>
                </c:pt>
                <c:pt idx="43">
                  <c:v>-8.6443367582091923</c:v>
                </c:pt>
                <c:pt idx="44">
                  <c:v>-8.705910132647432</c:v>
                </c:pt>
                <c:pt idx="45">
                  <c:v>-8.7524039039692525</c:v>
                </c:pt>
                <c:pt idx="46">
                  <c:v>-8.784309785738742</c:v>
                </c:pt>
                <c:pt idx="47">
                  <c:v>-8.8020974646383365</c:v>
                </c:pt>
                <c:pt idx="48">
                  <c:v>-8.8062117300751197</c:v>
                </c:pt>
                <c:pt idx="49">
                  <c:v>-8.7971082612909868</c:v>
                </c:pt>
                <c:pt idx="50">
                  <c:v>-8.7752275380807987</c:v>
                </c:pt>
                <c:pt idx="51">
                  <c:v>-8.7410126558893353</c:v>
                </c:pt>
                <c:pt idx="52">
                  <c:v>-8.6948754925231242</c:v>
                </c:pt>
                <c:pt idx="53">
                  <c:v>-8.6372531657730178</c:v>
                </c:pt>
                <c:pt idx="54">
                  <c:v>-8.5685381550604234</c:v>
                </c:pt>
                <c:pt idx="55">
                  <c:v>-8.4891527467334527</c:v>
                </c:pt>
                <c:pt idx="56">
                  <c:v>-8.3994895413752602</c:v>
                </c:pt>
                <c:pt idx="57">
                  <c:v>-8.2999343096332723</c:v>
                </c:pt>
                <c:pt idx="58">
                  <c:v>-8.190876096705324</c:v>
                </c:pt>
                <c:pt idx="59">
                  <c:v>-8.0726836948485925</c:v>
                </c:pt>
                <c:pt idx="60">
                  <c:v>-7.9457466746077898</c:v>
                </c:pt>
                <c:pt idx="61">
                  <c:v>-7.8104055017149676</c:v>
                </c:pt>
                <c:pt idx="62">
                  <c:v>-7.6670389082948986</c:v>
                </c:pt>
                <c:pt idx="63">
                  <c:v>-7.5159785968139659</c:v>
                </c:pt>
                <c:pt idx="64">
                  <c:v>-7.3575785204980093</c:v>
                </c:pt>
                <c:pt idx="65">
                  <c:v>-7.192165747682111</c:v>
                </c:pt>
                <c:pt idx="66">
                  <c:v>-7.0200967856521856</c:v>
                </c:pt>
                <c:pt idx="67">
                  <c:v>-6.8416724229507508</c:v>
                </c:pt>
                <c:pt idx="68">
                  <c:v>-6.6572095075798643</c:v>
                </c:pt>
                <c:pt idx="69">
                  <c:v>-6.4670484873659007</c:v>
                </c:pt>
                <c:pt idx="70">
                  <c:v>-6.2714552777265453</c:v>
                </c:pt>
                <c:pt idx="71">
                  <c:v>-6.0707806627817718</c:v>
                </c:pt>
                <c:pt idx="72">
                  <c:v>-5.8652720941267944</c:v>
                </c:pt>
                <c:pt idx="73">
                  <c:v>-5.6552485437180167</c:v>
                </c:pt>
                <c:pt idx="74">
                  <c:v>-5.440984376321012</c:v>
                </c:pt>
                <c:pt idx="75">
                  <c:v>-5.2227605934547228</c:v>
                </c:pt>
                <c:pt idx="76">
                  <c:v>-5.0008466453448364</c:v>
                </c:pt>
                <c:pt idx="77">
                  <c:v>-4.775507826991543</c:v>
                </c:pt>
                <c:pt idx="78">
                  <c:v>-4.5470128239628593</c:v>
                </c:pt>
                <c:pt idx="79">
                  <c:v>-4.3156051335131451</c:v>
                </c:pt>
                <c:pt idx="80">
                  <c:v>-4.0815672222720423</c:v>
                </c:pt>
                <c:pt idx="81">
                  <c:v>-3.8450915338046343</c:v>
                </c:pt>
                <c:pt idx="82">
                  <c:v>-3.6064656527798888</c:v>
                </c:pt>
                <c:pt idx="83">
                  <c:v>-3.3659098885152616</c:v>
                </c:pt>
                <c:pt idx="84">
                  <c:v>-3.1236568150347921</c:v>
                </c:pt>
                <c:pt idx="85">
                  <c:v>-2.8799176488973899</c:v>
                </c:pt>
                <c:pt idx="86">
                  <c:v>-2.63492572105406</c:v>
                </c:pt>
                <c:pt idx="87">
                  <c:v>-2.3889079880916597</c:v>
                </c:pt>
                <c:pt idx="88">
                  <c:v>-2.142051315018989</c:v>
                </c:pt>
                <c:pt idx="89">
                  <c:v>-1.8945846638871444</c:v>
                </c:pt>
                <c:pt idx="90">
                  <c:v>-1.6466913187400678</c:v>
                </c:pt>
                <c:pt idx="91">
                  <c:v>-1.3985756223746648</c:v>
                </c:pt>
                <c:pt idx="92">
                  <c:v>-1.1504292849053854</c:v>
                </c:pt>
                <c:pt idx="93">
                  <c:v>-0.90245438877900597</c:v>
                </c:pt>
                <c:pt idx="94">
                  <c:v>-0.65481415032309087</c:v>
                </c:pt>
                <c:pt idx="95">
                  <c:v>-0.40769721346123333</c:v>
                </c:pt>
                <c:pt idx="96">
                  <c:v>-0.16127099087270835</c:v>
                </c:pt>
                <c:pt idx="97">
                  <c:v>8.4277310094194036E-2</c:v>
                </c:pt>
                <c:pt idx="98">
                  <c:v>0.32880007159974411</c:v>
                </c:pt>
                <c:pt idx="99">
                  <c:v>0.57211490036479518</c:v>
                </c:pt>
                <c:pt idx="100">
                  <c:v>0.81408195336507561</c:v>
                </c:pt>
                <c:pt idx="101">
                  <c:v>1.0545373114609902</c:v>
                </c:pt>
                <c:pt idx="102">
                  <c:v>1.293334263067436</c:v>
                </c:pt>
                <c:pt idx="103">
                  <c:v>1.5303255945298133</c:v>
                </c:pt>
                <c:pt idx="104">
                  <c:v>1.7653662675201076</c:v>
                </c:pt>
                <c:pt idx="105">
                  <c:v>1.9983213794176891</c:v>
                </c:pt>
                <c:pt idx="106">
                  <c:v>2.2290586558852965</c:v>
                </c:pt>
                <c:pt idx="107">
                  <c:v>2.4574331566071805</c:v>
                </c:pt>
                <c:pt idx="108">
                  <c:v>2.6833338180125565</c:v>
                </c:pt>
                <c:pt idx="109">
                  <c:v>2.9066347530743997</c:v>
                </c:pt>
                <c:pt idx="110">
                  <c:v>3.1272031366285091</c:v>
                </c:pt>
                <c:pt idx="111">
                  <c:v>3.3449354765480166</c:v>
                </c:pt>
                <c:pt idx="112">
                  <c:v>3.5597165413463472</c:v>
                </c:pt>
                <c:pt idx="113">
                  <c:v>3.7714350589936885</c:v>
                </c:pt>
                <c:pt idx="114">
                  <c:v>3.979983886864602</c:v>
                </c:pt>
                <c:pt idx="115">
                  <c:v>4.1852575865704011</c:v>
                </c:pt>
                <c:pt idx="116">
                  <c:v>4.3871655124547715</c:v>
                </c:pt>
                <c:pt idx="117">
                  <c:v>4.5856114065401243</c:v>
                </c:pt>
                <c:pt idx="118">
                  <c:v>4.7804935478978905</c:v>
                </c:pt>
                <c:pt idx="119">
                  <c:v>4.9717203847023939</c:v>
                </c:pt>
                <c:pt idx="120">
                  <c:v>5.1592184581181755</c:v>
                </c:pt>
                <c:pt idx="121">
                  <c:v>5.342899089328057</c:v>
                </c:pt>
                <c:pt idx="122">
                  <c:v>5.5226740165466026</c:v>
                </c:pt>
                <c:pt idx="123">
                  <c:v>5.6984916018620879</c:v>
                </c:pt>
                <c:pt idx="124">
                  <c:v>5.8702417317562094</c:v>
                </c:pt>
                <c:pt idx="125">
                  <c:v>6.0378822009852229</c:v>
                </c:pt>
                <c:pt idx="126">
                  <c:v>6.2013229559738647</c:v>
                </c:pt>
                <c:pt idx="127">
                  <c:v>6.3605241600157569</c:v>
                </c:pt>
                <c:pt idx="128">
                  <c:v>6.5154036012131655</c:v>
                </c:pt>
                <c:pt idx="129">
                  <c:v>6.6659039213021742</c:v>
                </c:pt>
                <c:pt idx="130">
                  <c:v>6.811972045753123</c:v>
                </c:pt>
                <c:pt idx="131">
                  <c:v>6.9535646006215757</c:v>
                </c:pt>
                <c:pt idx="132">
                  <c:v>7.0906068501699338</c:v>
                </c:pt>
                <c:pt idx="133">
                  <c:v>7.2230649251991963</c:v>
                </c:pt>
                <c:pt idx="134">
                  <c:v>7.3509022636670807</c:v>
                </c:pt>
                <c:pt idx="135">
                  <c:v>7.474048851335624</c:v>
                </c:pt>
                <c:pt idx="136">
                  <c:v>7.592496640512536</c:v>
                </c:pt>
                <c:pt idx="137">
                  <c:v>7.706178696025745</c:v>
                </c:pt>
                <c:pt idx="138">
                  <c:v>7.8150749631049621</c:v>
                </c:pt>
                <c:pt idx="139">
                  <c:v>7.9191479888720551</c:v>
                </c:pt>
                <c:pt idx="140">
                  <c:v>8.0183740061841036</c:v>
                </c:pt>
                <c:pt idx="141">
                  <c:v>8.1127070872639706</c:v>
                </c:pt>
                <c:pt idx="142">
                  <c:v>8.2021409864836414</c:v>
                </c:pt>
                <c:pt idx="143">
                  <c:v>8.2866321753982675</c:v>
                </c:pt>
                <c:pt idx="144">
                  <c:v>8.3661848657641258</c:v>
                </c:pt>
                <c:pt idx="145">
                  <c:v>8.4407713978862375</c:v>
                </c:pt>
                <c:pt idx="146">
                  <c:v>8.51035038007808</c:v>
                </c:pt>
                <c:pt idx="147">
                  <c:v>8.574936399078581</c:v>
                </c:pt>
                <c:pt idx="148">
                  <c:v>8.6345100127616092</c:v>
                </c:pt>
                <c:pt idx="149">
                  <c:v>8.6890591007318108</c:v>
                </c:pt>
                <c:pt idx="150">
                  <c:v>8.738576470008752</c:v>
                </c:pt>
                <c:pt idx="151">
                  <c:v>8.7830470807830352</c:v>
                </c:pt>
                <c:pt idx="152">
                  <c:v>8.8224842737147924</c:v>
                </c:pt>
                <c:pt idx="153">
                  <c:v>8.8568758203066977</c:v>
                </c:pt>
                <c:pt idx="154">
                  <c:v>8.8862175757000728</c:v>
                </c:pt>
                <c:pt idx="155">
                  <c:v>8.9105264075399759</c:v>
                </c:pt>
                <c:pt idx="156">
                  <c:v>8.9297992831731676</c:v>
                </c:pt>
                <c:pt idx="157">
                  <c:v>8.9440364445891873</c:v>
                </c:pt>
                <c:pt idx="158">
                  <c:v>8.9532519275721256</c:v>
                </c:pt>
                <c:pt idx="159">
                  <c:v>8.9574582181128903</c:v>
                </c:pt>
                <c:pt idx="160">
                  <c:v>8.9566612682858704</c:v>
                </c:pt>
                <c:pt idx="161">
                  <c:v>8.9508812101328772</c:v>
                </c:pt>
                <c:pt idx="162">
                  <c:v>8.9401293196615939</c:v>
                </c:pt>
                <c:pt idx="163">
                  <c:v>8.9244261974741335</c:v>
                </c:pt>
                <c:pt idx="164">
                  <c:v>8.903781260791277</c:v>
                </c:pt>
                <c:pt idx="165">
                  <c:v>8.8782315660154154</c:v>
                </c:pt>
                <c:pt idx="166">
                  <c:v>8.8477955254404606</c:v>
                </c:pt>
                <c:pt idx="167">
                  <c:v>8.8124834007423658</c:v>
                </c:pt>
                <c:pt idx="168">
                  <c:v>8.7723308426355118</c:v>
                </c:pt>
                <c:pt idx="169">
                  <c:v>8.7273733422250643</c:v>
                </c:pt>
                <c:pt idx="170">
                  <c:v>8.6776334309064396</c:v>
                </c:pt>
                <c:pt idx="171">
                  <c:v>8.623138876490799</c:v>
                </c:pt>
                <c:pt idx="172">
                  <c:v>8.5639150319707369</c:v>
                </c:pt>
                <c:pt idx="173">
                  <c:v>8.5000236579197974</c:v>
                </c:pt>
                <c:pt idx="174">
                  <c:v>8.4314728740864098</c:v>
                </c:pt>
                <c:pt idx="175">
                  <c:v>8.3583151525274957</c:v>
                </c:pt>
                <c:pt idx="176">
                  <c:v>8.2805727363002291</c:v>
                </c:pt>
                <c:pt idx="177">
                  <c:v>8.1983048064060426</c:v>
                </c:pt>
                <c:pt idx="178">
                  <c:v>8.1115482441500575</c:v>
                </c:pt>
                <c:pt idx="179">
                  <c:v>8.0203307709840743</c:v>
                </c:pt>
                <c:pt idx="180">
                  <c:v>7.924719873024344</c:v>
                </c:pt>
                <c:pt idx="181">
                  <c:v>7.8247405891822552</c:v>
                </c:pt>
                <c:pt idx="182">
                  <c:v>7.7204606166709766</c:v>
                </c:pt>
                <c:pt idx="183">
                  <c:v>7.6119054166108313</c:v>
                </c:pt>
                <c:pt idx="184">
                  <c:v>7.4991381809628166</c:v>
                </c:pt>
                <c:pt idx="185">
                  <c:v>7.3822213036214279</c:v>
                </c:pt>
                <c:pt idx="186">
                  <c:v>7.2611830569790925</c:v>
                </c:pt>
                <c:pt idx="187">
                  <c:v>7.1360923791288222</c:v>
                </c:pt>
                <c:pt idx="188">
                  <c:v>7.006999723756735</c:v>
                </c:pt>
                <c:pt idx="189">
                  <c:v>6.8739629743520547</c:v>
                </c:pt>
                <c:pt idx="190">
                  <c:v>6.7370320851602994</c:v>
                </c:pt>
                <c:pt idx="191">
                  <c:v>6.5962904110836718</c:v>
                </c:pt>
                <c:pt idx="192">
                  <c:v>6.4517595258504201</c:v>
                </c:pt>
                <c:pt idx="193">
                  <c:v>6.3035229439778462</c:v>
                </c:pt>
                <c:pt idx="194">
                  <c:v>6.1516567141346457</c:v>
                </c:pt>
                <c:pt idx="195">
                  <c:v>5.996198634107941</c:v>
                </c:pt>
                <c:pt idx="196">
                  <c:v>5.8372230225511856</c:v>
                </c:pt>
                <c:pt idx="197">
                  <c:v>5.6747867640734029</c:v>
                </c:pt>
                <c:pt idx="198">
                  <c:v>5.5089757468245182</c:v>
                </c:pt>
                <c:pt idx="199">
                  <c:v>5.3398432254603279</c:v>
                </c:pt>
                <c:pt idx="200">
                  <c:v>5.1674587971390906</c:v>
                </c:pt>
                <c:pt idx="201">
                  <c:v>4.9918905194950014</c:v>
                </c:pt>
                <c:pt idx="202">
                  <c:v>4.8132255781752065</c:v>
                </c:pt>
                <c:pt idx="203">
                  <c:v>4.6315163886063715</c:v>
                </c:pt>
                <c:pt idx="204">
                  <c:v>4.4468346949777526</c:v>
                </c:pt>
                <c:pt idx="205">
                  <c:v>4.2592768942775194</c:v>
                </c:pt>
                <c:pt idx="206">
                  <c:v>4.0688894240759055</c:v>
                </c:pt>
                <c:pt idx="207">
                  <c:v>3.8757641246078833</c:v>
                </c:pt>
                <c:pt idx="208">
                  <c:v>3.6799792122010899</c:v>
                </c:pt>
                <c:pt idx="209">
                  <c:v>3.4816069768623947</c:v>
                </c:pt>
                <c:pt idx="210">
                  <c:v>3.280721721797164</c:v>
                </c:pt>
                <c:pt idx="211">
                  <c:v>3.0774074918618055</c:v>
                </c:pt>
                <c:pt idx="212">
                  <c:v>2.8717505510549302</c:v>
                </c:pt>
                <c:pt idx="213">
                  <c:v>2.6638213769913932</c:v>
                </c:pt>
                <c:pt idx="214">
                  <c:v>2.4536979800657832</c:v>
                </c:pt>
                <c:pt idx="215">
                  <c:v>2.2414839810807052</c:v>
                </c:pt>
                <c:pt idx="216">
                  <c:v>2.0272366920011109</c:v>
                </c:pt>
                <c:pt idx="217">
                  <c:v>1.8110598263376687</c:v>
                </c:pt>
                <c:pt idx="218">
                  <c:v>1.5930315540799711</c:v>
                </c:pt>
                <c:pt idx="219">
                  <c:v>1.3732405952566751</c:v>
                </c:pt>
                <c:pt idx="220">
                  <c:v>1.1517555120903467</c:v>
                </c:pt>
                <c:pt idx="221">
                  <c:v>0.92869419804486597</c:v>
                </c:pt>
                <c:pt idx="222">
                  <c:v>0.70412110652995352</c:v>
                </c:pt>
                <c:pt idx="223">
                  <c:v>0.47813735605473084</c:v>
                </c:pt>
                <c:pt idx="224">
                  <c:v>0.25082423681510591</c:v>
                </c:pt>
                <c:pt idx="225">
                  <c:v>2.2271647914351433E-2</c:v>
                </c:pt>
                <c:pt idx="226">
                  <c:v>-0.20742186659816753</c:v>
                </c:pt>
                <c:pt idx="227">
                  <c:v>-0.43816444592437165</c:v>
                </c:pt>
                <c:pt idx="228">
                  <c:v>-0.66988113291444051</c:v>
                </c:pt>
                <c:pt idx="229">
                  <c:v>-0.90244935897487721</c:v>
                </c:pt>
                <c:pt idx="230">
                  <c:v>-1.1358070854683433</c:v>
                </c:pt>
                <c:pt idx="231">
                  <c:v>-1.3698419024876785</c:v>
                </c:pt>
                <c:pt idx="232">
                  <c:v>-1.6044631437353019</c:v>
                </c:pt>
                <c:pt idx="233">
                  <c:v>-1.8395784798528325</c:v>
                </c:pt>
                <c:pt idx="234">
                  <c:v>-2.0750785129806104</c:v>
                </c:pt>
                <c:pt idx="235">
                  <c:v>-2.3108906905591198</c:v>
                </c:pt>
                <c:pt idx="236">
                  <c:v>-2.5468994206221396</c:v>
                </c:pt>
                <c:pt idx="237">
                  <c:v>-2.7830154837999999</c:v>
                </c:pt>
                <c:pt idx="238">
                  <c:v>-3.0191296314683314</c:v>
                </c:pt>
                <c:pt idx="239">
                  <c:v>-3.2551562278086976</c:v>
                </c:pt>
                <c:pt idx="240">
                  <c:v>-3.4910074745084785</c:v>
                </c:pt>
                <c:pt idx="241">
                  <c:v>-3.726541772721248</c:v>
                </c:pt>
                <c:pt idx="242">
                  <c:v>-3.961700126765777</c:v>
                </c:pt>
                <c:pt idx="243">
                  <c:v>-4.196361878314292</c:v>
                </c:pt>
                <c:pt idx="244">
                  <c:v>-4.4304321544217373</c:v>
                </c:pt>
                <c:pt idx="245">
                  <c:v>-4.6638083279901821</c:v>
                </c:pt>
                <c:pt idx="246">
                  <c:v>-4.8963798839025685</c:v>
                </c:pt>
                <c:pt idx="247">
                  <c:v>-5.1280670302702447</c:v>
                </c:pt>
                <c:pt idx="248">
                  <c:v>-5.3587381725037631</c:v>
                </c:pt>
                <c:pt idx="249">
                  <c:v>-5.5883051363565528</c:v>
                </c:pt>
                <c:pt idx="250">
                  <c:v>-5.8166638067689291</c:v>
                </c:pt>
                <c:pt idx="251">
                  <c:v>-6.0437147128595825</c:v>
                </c:pt>
                <c:pt idx="252">
                  <c:v>-6.2693423142405891</c:v>
                </c:pt>
                <c:pt idx="253">
                  <c:v>-6.4934355242058928</c:v>
                </c:pt>
                <c:pt idx="254">
                  <c:v>-6.7159107973679966</c:v>
                </c:pt>
                <c:pt idx="255">
                  <c:v>-6.9366451325976186</c:v>
                </c:pt>
                <c:pt idx="256">
                  <c:v>-7.1555377409850962</c:v>
                </c:pt>
                <c:pt idx="257">
                  <c:v>-7.3724765420735139</c:v>
                </c:pt>
                <c:pt idx="258">
                  <c:v>-7.5873689902721253</c:v>
                </c:pt>
                <c:pt idx="259">
                  <c:v>-7.8000955702890451</c:v>
                </c:pt>
                <c:pt idx="260">
                  <c:v>-8.0105433006139037</c:v>
                </c:pt>
                <c:pt idx="261">
                  <c:v>-8.2186210361072654</c:v>
                </c:pt>
                <c:pt idx="262">
                  <c:v>-8.4242053329148803</c:v>
                </c:pt>
                <c:pt idx="263">
                  <c:v>-8.6271970445181978</c:v>
                </c:pt>
                <c:pt idx="264">
                  <c:v>-8.8274748689656235</c:v>
                </c:pt>
                <c:pt idx="265">
                  <c:v>-9.0249519294900438</c:v>
                </c:pt>
                <c:pt idx="266">
                  <c:v>-9.2194804435337119</c:v>
                </c:pt>
                <c:pt idx="267">
                  <c:v>-9.4109984188008866</c:v>
                </c:pt>
                <c:pt idx="268">
                  <c:v>-9.5993595916468166</c:v>
                </c:pt>
                <c:pt idx="269">
                  <c:v>-9.7844673127553961</c:v>
                </c:pt>
                <c:pt idx="270">
                  <c:v>-9.9661997653015533</c:v>
                </c:pt>
                <c:pt idx="271">
                  <c:v>-10.144469104574227</c:v>
                </c:pt>
                <c:pt idx="272">
                  <c:v>-10.319139040205982</c:v>
                </c:pt>
                <c:pt idx="273">
                  <c:v>-10.490117412743416</c:v>
                </c:pt>
                <c:pt idx="274">
                  <c:v>-10.657273721818683</c:v>
                </c:pt>
                <c:pt idx="275">
                  <c:v>-10.82050605339191</c:v>
                </c:pt>
                <c:pt idx="276">
                  <c:v>-10.979707486271195</c:v>
                </c:pt>
                <c:pt idx="277">
                  <c:v>-11.134742867980663</c:v>
                </c:pt>
                <c:pt idx="278">
                  <c:v>-11.28554144808902</c:v>
                </c:pt>
                <c:pt idx="279">
                  <c:v>-11.431950032516625</c:v>
                </c:pt>
                <c:pt idx="280">
                  <c:v>-11.573866784573283</c:v>
                </c:pt>
                <c:pt idx="281">
                  <c:v>-11.711187136000945</c:v>
                </c:pt>
                <c:pt idx="282">
                  <c:v>-11.843785668332885</c:v>
                </c:pt>
                <c:pt idx="283">
                  <c:v>-11.9715649290697</c:v>
                </c:pt>
                <c:pt idx="284">
                  <c:v>-12.094396232768645</c:v>
                </c:pt>
                <c:pt idx="285">
                  <c:v>-12.212170979623238</c:v>
                </c:pt>
                <c:pt idx="286">
                  <c:v>-12.324769803711888</c:v>
                </c:pt>
                <c:pt idx="287">
                  <c:v>-12.432085585459163</c:v>
                </c:pt>
                <c:pt idx="288">
                  <c:v>-12.533997692301568</c:v>
                </c:pt>
                <c:pt idx="289">
                  <c:v>-12.630395083874646</c:v>
                </c:pt>
                <c:pt idx="290">
                  <c:v>-12.721165906299348</c:v>
                </c:pt>
                <c:pt idx="291">
                  <c:v>-12.806184609900129</c:v>
                </c:pt>
                <c:pt idx="292">
                  <c:v>-12.885340164558556</c:v>
                </c:pt>
                <c:pt idx="293">
                  <c:v>-12.95853601115482</c:v>
                </c:pt>
                <c:pt idx="294">
                  <c:v>-13.025620479737654</c:v>
                </c:pt>
                <c:pt idx="295">
                  <c:v>-13.086515477510829</c:v>
                </c:pt>
                <c:pt idx="296">
                  <c:v>-13.141067048451305</c:v>
                </c:pt>
                <c:pt idx="297">
                  <c:v>-13.189197264495078</c:v>
                </c:pt>
                <c:pt idx="298">
                  <c:v>-13.23076253422073</c:v>
                </c:pt>
                <c:pt idx="299">
                  <c:v>-13.265661672392071</c:v>
                </c:pt>
                <c:pt idx="300">
                  <c:v>-13.293771489799155</c:v>
                </c:pt>
                <c:pt idx="301">
                  <c:v>-13.314980168644297</c:v>
                </c:pt>
                <c:pt idx="302">
                  <c:v>-13.3291666620039</c:v>
                </c:pt>
                <c:pt idx="303">
                  <c:v>-13.336223729197627</c:v>
                </c:pt>
                <c:pt idx="304">
                  <c:v>-13.336019327766735</c:v>
                </c:pt>
                <c:pt idx="305">
                  <c:v>-13.328455711786091</c:v>
                </c:pt>
                <c:pt idx="306">
                  <c:v>-13.313397327209486</c:v>
                </c:pt>
                <c:pt idx="307">
                  <c:v>-13.290747952169113</c:v>
                </c:pt>
                <c:pt idx="308">
                  <c:v>-13.260373445945106</c:v>
                </c:pt>
                <c:pt idx="309">
                  <c:v>-13.222160845174358</c:v>
                </c:pt>
                <c:pt idx="310">
                  <c:v>-13.176000334965465</c:v>
                </c:pt>
                <c:pt idx="311">
                  <c:v>-13.121772299513168</c:v>
                </c:pt>
                <c:pt idx="312">
                  <c:v>-13.059349832360567</c:v>
                </c:pt>
                <c:pt idx="313">
                  <c:v>-12.988632139411038</c:v>
                </c:pt>
                <c:pt idx="314">
                  <c:v>-12.909487880989445</c:v>
                </c:pt>
                <c:pt idx="315">
                  <c:v>-12.821816865397295</c:v>
                </c:pt>
                <c:pt idx="316">
                  <c:v>-12.72548048018507</c:v>
                </c:pt>
                <c:pt idx="317">
                  <c:v>-12.620381458248175</c:v>
                </c:pt>
                <c:pt idx="318">
                  <c:v>-12.506394332149284</c:v>
                </c:pt>
                <c:pt idx="319">
                  <c:v>-12.383388480543545</c:v>
                </c:pt>
                <c:pt idx="320">
                  <c:v>-12.25127450888408</c:v>
                </c:pt>
                <c:pt idx="321">
                  <c:v>-12.109911407861773</c:v>
                </c:pt>
                <c:pt idx="322">
                  <c:v>-11.959201843495748</c:v>
                </c:pt>
                <c:pt idx="323">
                  <c:v>-11.799012218318694</c:v>
                </c:pt>
                <c:pt idx="324">
                  <c:v>-11.629224196042287</c:v>
                </c:pt>
                <c:pt idx="325">
                  <c:v>-11.449744832106035</c:v>
                </c:pt>
                <c:pt idx="326">
                  <c:v>-11.260421673853216</c:v>
                </c:pt>
                <c:pt idx="327">
                  <c:v>-11.061168745641226</c:v>
                </c:pt>
                <c:pt idx="328">
                  <c:v>-10.85184303275355</c:v>
                </c:pt>
                <c:pt idx="329">
                  <c:v>-10.632365348328676</c:v>
                </c:pt>
                <c:pt idx="330">
                  <c:v>-10.402563249272134</c:v>
                </c:pt>
                <c:pt idx="331">
                  <c:v>-10.162371821365923</c:v>
                </c:pt>
                <c:pt idx="332">
                  <c:v>-9.9116405222900994</c:v>
                </c:pt>
                <c:pt idx="333">
                  <c:v>-9.6502644182123731</c:v>
                </c:pt>
                <c:pt idx="334">
                  <c:v>-9.3781300824389291</c:v>
                </c:pt>
                <c:pt idx="335">
                  <c:v>-9.0951155588641086</c:v>
                </c:pt>
                <c:pt idx="336">
                  <c:v>-8.8011082473258284</c:v>
                </c:pt>
                <c:pt idx="337">
                  <c:v>-8.4959818281902244</c:v>
                </c:pt>
                <c:pt idx="338">
                  <c:v>-8.1796218371152918</c:v>
                </c:pt>
                <c:pt idx="339">
                  <c:v>-7.851917877417236</c:v>
                </c:pt>
                <c:pt idx="340">
                  <c:v>-7.5127611177094877</c:v>
                </c:pt>
                <c:pt idx="341">
                  <c:v>-7.1620055105654501</c:v>
                </c:pt>
                <c:pt idx="342">
                  <c:v>-6.7995630490145231</c:v>
                </c:pt>
                <c:pt idx="343">
                  <c:v>-6.42530327655777</c:v>
                </c:pt>
                <c:pt idx="344">
                  <c:v>-6.0391150678356098</c:v>
                </c:pt>
                <c:pt idx="345">
                  <c:v>-5.6408730841610577</c:v>
                </c:pt>
                <c:pt idx="346">
                  <c:v>-5.2304711818464966</c:v>
                </c:pt>
                <c:pt idx="347">
                  <c:v>-4.8077966574737729</c:v>
                </c:pt>
                <c:pt idx="348">
                  <c:v>-4.3726992621770933</c:v>
                </c:pt>
                <c:pt idx="349">
                  <c:v>-3.9251147356651472</c:v>
                </c:pt>
                <c:pt idx="350">
                  <c:v>-3.4648923012241539</c:v>
                </c:pt>
                <c:pt idx="351">
                  <c:v>-2.9919233025168523</c:v>
                </c:pt>
                <c:pt idx="352">
                  <c:v>-2.5060793785485203</c:v>
                </c:pt>
                <c:pt idx="353">
                  <c:v>-2.0072690649044489</c:v>
                </c:pt>
                <c:pt idx="354">
                  <c:v>-1.4953759304319192</c:v>
                </c:pt>
                <c:pt idx="355">
                  <c:v>-0.97024053812333477</c:v>
                </c:pt>
                <c:pt idx="356">
                  <c:v>-0.43179684877259206</c:v>
                </c:pt>
                <c:pt idx="357">
                  <c:v>0.12009263025447581</c:v>
                </c:pt>
                <c:pt idx="358">
                  <c:v>0.68554934509279519</c:v>
                </c:pt>
                <c:pt idx="359">
                  <c:v>1.2646684221522264</c:v>
                </c:pt>
                <c:pt idx="360">
                  <c:v>1.8575830856661923</c:v>
                </c:pt>
                <c:pt idx="361">
                  <c:v>2.4644081152018771</c:v>
                </c:pt>
                <c:pt idx="362">
                  <c:v>3.0852578335611724</c:v>
                </c:pt>
                <c:pt idx="363">
                  <c:v>3.7202487927743277</c:v>
                </c:pt>
                <c:pt idx="364">
                  <c:v>4.3694765969632954</c:v>
                </c:pt>
                <c:pt idx="365">
                  <c:v>5.03308810954195</c:v>
                </c:pt>
                <c:pt idx="366">
                  <c:v>5.7111835685361712</c:v>
                </c:pt>
                <c:pt idx="367">
                  <c:v>6.403881095224051</c:v>
                </c:pt>
                <c:pt idx="368">
                  <c:v>7.1112935036410363</c:v>
                </c:pt>
                <c:pt idx="369">
                  <c:v>7.8335283521937527</c:v>
                </c:pt>
                <c:pt idx="370">
                  <c:v>8.5707266552503825</c:v>
                </c:pt>
                <c:pt idx="371">
                  <c:v>9.3229727511356941</c:v>
                </c:pt>
                <c:pt idx="372">
                  <c:v>10.090397395146056</c:v>
                </c:pt>
                <c:pt idx="373">
                  <c:v>10.87311853981987</c:v>
                </c:pt>
                <c:pt idx="374">
                  <c:v>11.671251693456952</c:v>
                </c:pt>
                <c:pt idx="375">
                  <c:v>12.484899705810903</c:v>
                </c:pt>
                <c:pt idx="376">
                  <c:v>13.314186204837597</c:v>
                </c:pt>
                <c:pt idx="377">
                  <c:v>14.159222250043513</c:v>
                </c:pt>
                <c:pt idx="378">
                  <c:v>15.020139770854257</c:v>
                </c:pt>
                <c:pt idx="379">
                  <c:v>15.897019627260534</c:v>
                </c:pt>
                <c:pt idx="380">
                  <c:v>16.790020264664918</c:v>
                </c:pt>
                <c:pt idx="381">
                  <c:v>17.69920790692936</c:v>
                </c:pt>
                <c:pt idx="382">
                  <c:v>18.624734260725972</c:v>
                </c:pt>
                <c:pt idx="383">
                  <c:v>19.566700022323857</c:v>
                </c:pt>
                <c:pt idx="384">
                  <c:v>20.525234860457431</c:v>
                </c:pt>
                <c:pt idx="385">
                  <c:v>21.500425230357223</c:v>
                </c:pt>
                <c:pt idx="386">
                  <c:v>22.492399500180227</c:v>
                </c:pt>
                <c:pt idx="387">
                  <c:v>23.501278994956465</c:v>
                </c:pt>
                <c:pt idx="388">
                  <c:v>24.527180681417349</c:v>
                </c:pt>
                <c:pt idx="389">
                  <c:v>25.570204277443054</c:v>
                </c:pt>
                <c:pt idx="390">
                  <c:v>26.630468377987881</c:v>
                </c:pt>
                <c:pt idx="391">
                  <c:v>27.70810532035739</c:v>
                </c:pt>
                <c:pt idx="392">
                  <c:v>28.803202089960678</c:v>
                </c:pt>
                <c:pt idx="393">
                  <c:v>29.915885169828016</c:v>
                </c:pt>
                <c:pt idx="394">
                  <c:v>31.046287324613786</c:v>
                </c:pt>
                <c:pt idx="395">
                  <c:v>32.194485614581936</c:v>
                </c:pt>
                <c:pt idx="396">
                  <c:v>33.36063043028048</c:v>
                </c:pt>
                <c:pt idx="397">
                  <c:v>34.544824280288822</c:v>
                </c:pt>
                <c:pt idx="398">
                  <c:v>35.747165765315003</c:v>
                </c:pt>
                <c:pt idx="399">
                  <c:v>36.967788173711824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95-4E02-805F-2557AB9EC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423000"/>
        <c:axId val="758420376"/>
      </c:scatterChart>
      <c:valAx>
        <c:axId val="758423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 (mm)</a:t>
                </a:r>
                <a:endParaRPr lang="en-US" sz="12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58420376"/>
        <c:crosses val="autoZero"/>
        <c:crossBetween val="midCat"/>
      </c:valAx>
      <c:valAx>
        <c:axId val="7584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Slope error (nrad)</a:t>
                </a:r>
                <a:endParaRPr lang="en-US" sz="12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58423000"/>
        <c:crosses val="autoZero"/>
        <c:crossBetween val="midCat"/>
      </c:valAx>
    </c:plotArea>
    <c:plotVisOnly val="1"/>
    <c:dispBlanksAs val="gap"/>
    <c:showDLblsOverMax val="0"/>
    <c:extLst/>
  </c:chart>
  <c:spPr>
    <a:ln w="1270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70C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>
                <a:solidFill>
                  <a:srgbClr val="0070C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Height profile</a:t>
            </a:r>
          </a:p>
        </c:rich>
      </c:tx>
      <c:layout>
        <c:manualLayout>
          <c:xMode val="edge"/>
          <c:yMode val="edge"/>
          <c:x val="0.35701170166229224"/>
          <c:y val="4.693118748915996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0017224409448825E-2"/>
          <c:y val="0.14858869892243678"/>
          <c:w val="0.87442722003499562"/>
          <c:h val="0.74549358413531641"/>
        </c:manualLayout>
      </c:layout>
      <c:scatterChart>
        <c:scatterStyle val="smoothMarker"/>
        <c:varyColors val="0"/>
        <c:ser>
          <c:idx val="1"/>
          <c:order val="0"/>
          <c:tx>
            <c:v>Bender fit</c:v>
          </c:tx>
          <c:marker>
            <c:symbol val="none"/>
          </c:marker>
          <c:xVal>
            <c:numRef>
              <c:f>CALCULATIONS!$N$30:$N$430</c:f>
              <c:numCache>
                <c:formatCode>General</c:formatCode>
                <c:ptCount val="401"/>
                <c:pt idx="0">
                  <c:v>-138</c:v>
                </c:pt>
                <c:pt idx="1">
                  <c:v>-137.31</c:v>
                </c:pt>
                <c:pt idx="2">
                  <c:v>-136.62</c:v>
                </c:pt>
                <c:pt idx="3">
                  <c:v>-135.93</c:v>
                </c:pt>
                <c:pt idx="4">
                  <c:v>-135.24</c:v>
                </c:pt>
                <c:pt idx="5">
                  <c:v>-134.55000000000001</c:v>
                </c:pt>
                <c:pt idx="6">
                  <c:v>-133.86000000000001</c:v>
                </c:pt>
                <c:pt idx="7">
                  <c:v>-133.17000000000002</c:v>
                </c:pt>
                <c:pt idx="8">
                  <c:v>-132.48000000000002</c:v>
                </c:pt>
                <c:pt idx="9">
                  <c:v>-131.79000000000002</c:v>
                </c:pt>
                <c:pt idx="10">
                  <c:v>-131.10000000000002</c:v>
                </c:pt>
                <c:pt idx="11">
                  <c:v>-130.41000000000003</c:v>
                </c:pt>
                <c:pt idx="12">
                  <c:v>-129.72000000000003</c:v>
                </c:pt>
                <c:pt idx="13">
                  <c:v>-129.03000000000003</c:v>
                </c:pt>
                <c:pt idx="14">
                  <c:v>-128.34000000000003</c:v>
                </c:pt>
                <c:pt idx="15">
                  <c:v>-127.65000000000003</c:v>
                </c:pt>
                <c:pt idx="16">
                  <c:v>-126.96000000000004</c:v>
                </c:pt>
                <c:pt idx="17">
                  <c:v>-126.27000000000004</c:v>
                </c:pt>
                <c:pt idx="18">
                  <c:v>-125.58000000000004</c:v>
                </c:pt>
                <c:pt idx="19">
                  <c:v>-124.89000000000004</c:v>
                </c:pt>
                <c:pt idx="20">
                  <c:v>-124.20000000000005</c:v>
                </c:pt>
                <c:pt idx="21">
                  <c:v>-123.51000000000005</c:v>
                </c:pt>
                <c:pt idx="22">
                  <c:v>-122.82000000000005</c:v>
                </c:pt>
                <c:pt idx="23">
                  <c:v>-122.13000000000005</c:v>
                </c:pt>
                <c:pt idx="24">
                  <c:v>-121.44000000000005</c:v>
                </c:pt>
                <c:pt idx="25">
                  <c:v>-120.75000000000006</c:v>
                </c:pt>
                <c:pt idx="26">
                  <c:v>-120.06000000000006</c:v>
                </c:pt>
                <c:pt idx="27">
                  <c:v>-119.37000000000006</c:v>
                </c:pt>
                <c:pt idx="28">
                  <c:v>-118.68000000000006</c:v>
                </c:pt>
                <c:pt idx="29">
                  <c:v>-117.99000000000007</c:v>
                </c:pt>
                <c:pt idx="30">
                  <c:v>-117.30000000000007</c:v>
                </c:pt>
                <c:pt idx="31">
                  <c:v>-116.61000000000007</c:v>
                </c:pt>
                <c:pt idx="32">
                  <c:v>-115.92000000000007</c:v>
                </c:pt>
                <c:pt idx="33">
                  <c:v>-115.23000000000008</c:v>
                </c:pt>
                <c:pt idx="34">
                  <c:v>-114.54000000000008</c:v>
                </c:pt>
                <c:pt idx="35">
                  <c:v>-113.85000000000008</c:v>
                </c:pt>
                <c:pt idx="36">
                  <c:v>-113.16000000000008</c:v>
                </c:pt>
                <c:pt idx="37">
                  <c:v>-112.47000000000008</c:v>
                </c:pt>
                <c:pt idx="38">
                  <c:v>-111.78000000000009</c:v>
                </c:pt>
                <c:pt idx="39">
                  <c:v>-111.09000000000009</c:v>
                </c:pt>
                <c:pt idx="40">
                  <c:v>-110.40000000000009</c:v>
                </c:pt>
                <c:pt idx="41">
                  <c:v>-109.71000000000009</c:v>
                </c:pt>
                <c:pt idx="42">
                  <c:v>-109.0200000000001</c:v>
                </c:pt>
                <c:pt idx="43">
                  <c:v>-108.3300000000001</c:v>
                </c:pt>
                <c:pt idx="44">
                  <c:v>-107.6400000000001</c:v>
                </c:pt>
                <c:pt idx="45">
                  <c:v>-106.9500000000001</c:v>
                </c:pt>
                <c:pt idx="46">
                  <c:v>-106.2600000000001</c:v>
                </c:pt>
                <c:pt idx="47">
                  <c:v>-105.57000000000011</c:v>
                </c:pt>
                <c:pt idx="48">
                  <c:v>-104.88000000000011</c:v>
                </c:pt>
                <c:pt idx="49">
                  <c:v>-104.19000000000011</c:v>
                </c:pt>
                <c:pt idx="50">
                  <c:v>-103.50000000000011</c:v>
                </c:pt>
                <c:pt idx="51">
                  <c:v>-102.81000000000012</c:v>
                </c:pt>
                <c:pt idx="52">
                  <c:v>-102.12000000000012</c:v>
                </c:pt>
                <c:pt idx="53">
                  <c:v>-101.43000000000012</c:v>
                </c:pt>
                <c:pt idx="54">
                  <c:v>-100.74000000000012</c:v>
                </c:pt>
                <c:pt idx="55">
                  <c:v>-100.05000000000013</c:v>
                </c:pt>
                <c:pt idx="56">
                  <c:v>-99.360000000000127</c:v>
                </c:pt>
                <c:pt idx="57">
                  <c:v>-98.67000000000013</c:v>
                </c:pt>
                <c:pt idx="58">
                  <c:v>-97.980000000000132</c:v>
                </c:pt>
                <c:pt idx="59">
                  <c:v>-97.290000000000134</c:v>
                </c:pt>
                <c:pt idx="60">
                  <c:v>-96.600000000000136</c:v>
                </c:pt>
                <c:pt idx="61">
                  <c:v>-95.910000000000139</c:v>
                </c:pt>
                <c:pt idx="62">
                  <c:v>-95.220000000000141</c:v>
                </c:pt>
                <c:pt idx="63">
                  <c:v>-94.530000000000143</c:v>
                </c:pt>
                <c:pt idx="64">
                  <c:v>-93.840000000000146</c:v>
                </c:pt>
                <c:pt idx="65">
                  <c:v>-93.150000000000148</c:v>
                </c:pt>
                <c:pt idx="66">
                  <c:v>-92.46000000000015</c:v>
                </c:pt>
                <c:pt idx="67">
                  <c:v>-91.770000000000152</c:v>
                </c:pt>
                <c:pt idx="68">
                  <c:v>-91.080000000000155</c:v>
                </c:pt>
                <c:pt idx="69">
                  <c:v>-90.390000000000157</c:v>
                </c:pt>
                <c:pt idx="70">
                  <c:v>-89.700000000000159</c:v>
                </c:pt>
                <c:pt idx="71">
                  <c:v>-89.010000000000161</c:v>
                </c:pt>
                <c:pt idx="72">
                  <c:v>-88.320000000000164</c:v>
                </c:pt>
                <c:pt idx="73">
                  <c:v>-87.630000000000166</c:v>
                </c:pt>
                <c:pt idx="74">
                  <c:v>-86.940000000000168</c:v>
                </c:pt>
                <c:pt idx="75">
                  <c:v>-86.250000000000171</c:v>
                </c:pt>
                <c:pt idx="76">
                  <c:v>-85.560000000000173</c:v>
                </c:pt>
                <c:pt idx="77">
                  <c:v>-84.870000000000175</c:v>
                </c:pt>
                <c:pt idx="78">
                  <c:v>-84.180000000000177</c:v>
                </c:pt>
                <c:pt idx="79">
                  <c:v>-83.49000000000018</c:v>
                </c:pt>
                <c:pt idx="80">
                  <c:v>-82.800000000000182</c:v>
                </c:pt>
                <c:pt idx="81">
                  <c:v>-82.110000000000184</c:v>
                </c:pt>
                <c:pt idx="82">
                  <c:v>-81.420000000000186</c:v>
                </c:pt>
                <c:pt idx="83">
                  <c:v>-80.730000000000189</c:v>
                </c:pt>
                <c:pt idx="84">
                  <c:v>-80.040000000000191</c:v>
                </c:pt>
                <c:pt idx="85">
                  <c:v>-79.350000000000193</c:v>
                </c:pt>
                <c:pt idx="86">
                  <c:v>-78.660000000000196</c:v>
                </c:pt>
                <c:pt idx="87">
                  <c:v>-77.970000000000198</c:v>
                </c:pt>
                <c:pt idx="88">
                  <c:v>-77.2800000000002</c:v>
                </c:pt>
                <c:pt idx="89">
                  <c:v>-76.590000000000202</c:v>
                </c:pt>
                <c:pt idx="90">
                  <c:v>-75.900000000000205</c:v>
                </c:pt>
                <c:pt idx="91">
                  <c:v>-75.210000000000207</c:v>
                </c:pt>
                <c:pt idx="92">
                  <c:v>-74.520000000000209</c:v>
                </c:pt>
                <c:pt idx="93">
                  <c:v>-73.830000000000211</c:v>
                </c:pt>
                <c:pt idx="94">
                  <c:v>-73.140000000000214</c:v>
                </c:pt>
                <c:pt idx="95">
                  <c:v>-72.450000000000216</c:v>
                </c:pt>
                <c:pt idx="96">
                  <c:v>-71.760000000000218</c:v>
                </c:pt>
                <c:pt idx="97">
                  <c:v>-71.070000000000221</c:v>
                </c:pt>
                <c:pt idx="98">
                  <c:v>-70.380000000000223</c:v>
                </c:pt>
                <c:pt idx="99">
                  <c:v>-69.690000000000225</c:v>
                </c:pt>
                <c:pt idx="100">
                  <c:v>-69.000000000000227</c:v>
                </c:pt>
                <c:pt idx="101">
                  <c:v>-68.31000000000023</c:v>
                </c:pt>
                <c:pt idx="102">
                  <c:v>-67.620000000000232</c:v>
                </c:pt>
                <c:pt idx="103">
                  <c:v>-66.930000000000234</c:v>
                </c:pt>
                <c:pt idx="104">
                  <c:v>-66.240000000000236</c:v>
                </c:pt>
                <c:pt idx="105">
                  <c:v>-65.550000000000239</c:v>
                </c:pt>
                <c:pt idx="106">
                  <c:v>-64.860000000000241</c:v>
                </c:pt>
                <c:pt idx="107">
                  <c:v>-64.170000000000243</c:v>
                </c:pt>
                <c:pt idx="108">
                  <c:v>-63.480000000000246</c:v>
                </c:pt>
                <c:pt idx="109">
                  <c:v>-62.790000000000248</c:v>
                </c:pt>
                <c:pt idx="110">
                  <c:v>-62.10000000000025</c:v>
                </c:pt>
                <c:pt idx="111">
                  <c:v>-61.410000000000252</c:v>
                </c:pt>
                <c:pt idx="112">
                  <c:v>-60.720000000000255</c:v>
                </c:pt>
                <c:pt idx="113">
                  <c:v>-60.030000000000257</c:v>
                </c:pt>
                <c:pt idx="114">
                  <c:v>-59.340000000000259</c:v>
                </c:pt>
                <c:pt idx="115">
                  <c:v>-58.650000000000261</c:v>
                </c:pt>
                <c:pt idx="116">
                  <c:v>-57.960000000000264</c:v>
                </c:pt>
                <c:pt idx="117">
                  <c:v>-57.270000000000266</c:v>
                </c:pt>
                <c:pt idx="118">
                  <c:v>-56.580000000000268</c:v>
                </c:pt>
                <c:pt idx="119">
                  <c:v>-55.890000000000271</c:v>
                </c:pt>
                <c:pt idx="120">
                  <c:v>-55.200000000000273</c:v>
                </c:pt>
                <c:pt idx="121">
                  <c:v>-54.510000000000275</c:v>
                </c:pt>
                <c:pt idx="122">
                  <c:v>-53.820000000000277</c:v>
                </c:pt>
                <c:pt idx="123">
                  <c:v>-53.13000000000028</c:v>
                </c:pt>
                <c:pt idx="124">
                  <c:v>-52.440000000000282</c:v>
                </c:pt>
                <c:pt idx="125">
                  <c:v>-51.750000000000284</c:v>
                </c:pt>
                <c:pt idx="126">
                  <c:v>-51.060000000000286</c:v>
                </c:pt>
                <c:pt idx="127">
                  <c:v>-50.370000000000289</c:v>
                </c:pt>
                <c:pt idx="128">
                  <c:v>-49.680000000000291</c:v>
                </c:pt>
                <c:pt idx="129">
                  <c:v>-48.990000000000293</c:v>
                </c:pt>
                <c:pt idx="130">
                  <c:v>-48.300000000000296</c:v>
                </c:pt>
                <c:pt idx="131">
                  <c:v>-47.610000000000298</c:v>
                </c:pt>
                <c:pt idx="132">
                  <c:v>-46.9200000000003</c:v>
                </c:pt>
                <c:pt idx="133">
                  <c:v>-46.230000000000302</c:v>
                </c:pt>
                <c:pt idx="134">
                  <c:v>-45.540000000000305</c:v>
                </c:pt>
                <c:pt idx="135">
                  <c:v>-44.850000000000307</c:v>
                </c:pt>
                <c:pt idx="136">
                  <c:v>-44.160000000000309</c:v>
                </c:pt>
                <c:pt idx="137">
                  <c:v>-43.470000000000312</c:v>
                </c:pt>
                <c:pt idx="138">
                  <c:v>-42.780000000000314</c:v>
                </c:pt>
                <c:pt idx="139">
                  <c:v>-42.090000000000316</c:v>
                </c:pt>
                <c:pt idx="140">
                  <c:v>-41.400000000000318</c:v>
                </c:pt>
                <c:pt idx="141">
                  <c:v>-40.710000000000321</c:v>
                </c:pt>
                <c:pt idx="142">
                  <c:v>-40.020000000000323</c:v>
                </c:pt>
                <c:pt idx="143">
                  <c:v>-39.330000000000325</c:v>
                </c:pt>
                <c:pt idx="144">
                  <c:v>-38.640000000000327</c:v>
                </c:pt>
                <c:pt idx="145">
                  <c:v>-37.95000000000033</c:v>
                </c:pt>
                <c:pt idx="146">
                  <c:v>-37.260000000000332</c:v>
                </c:pt>
                <c:pt idx="147">
                  <c:v>-36.570000000000334</c:v>
                </c:pt>
                <c:pt idx="148">
                  <c:v>-35.880000000000337</c:v>
                </c:pt>
                <c:pt idx="149">
                  <c:v>-35.190000000000339</c:v>
                </c:pt>
                <c:pt idx="150">
                  <c:v>-34.500000000000341</c:v>
                </c:pt>
                <c:pt idx="151">
                  <c:v>-33.810000000000343</c:v>
                </c:pt>
                <c:pt idx="152">
                  <c:v>-33.120000000000346</c:v>
                </c:pt>
                <c:pt idx="153">
                  <c:v>-32.430000000000348</c:v>
                </c:pt>
                <c:pt idx="154">
                  <c:v>-31.740000000000347</c:v>
                </c:pt>
                <c:pt idx="155">
                  <c:v>-31.050000000000345</c:v>
                </c:pt>
                <c:pt idx="156">
                  <c:v>-30.360000000000344</c:v>
                </c:pt>
                <c:pt idx="157">
                  <c:v>-29.670000000000343</c:v>
                </c:pt>
                <c:pt idx="158">
                  <c:v>-28.980000000000341</c:v>
                </c:pt>
                <c:pt idx="159">
                  <c:v>-28.29000000000034</c:v>
                </c:pt>
                <c:pt idx="160">
                  <c:v>-27.600000000000339</c:v>
                </c:pt>
                <c:pt idx="161">
                  <c:v>-26.910000000000338</c:v>
                </c:pt>
                <c:pt idx="162">
                  <c:v>-26.220000000000336</c:v>
                </c:pt>
                <c:pt idx="163">
                  <c:v>-25.530000000000335</c:v>
                </c:pt>
                <c:pt idx="164">
                  <c:v>-24.840000000000334</c:v>
                </c:pt>
                <c:pt idx="165">
                  <c:v>-24.150000000000333</c:v>
                </c:pt>
                <c:pt idx="166">
                  <c:v>-23.460000000000331</c:v>
                </c:pt>
                <c:pt idx="167">
                  <c:v>-22.77000000000033</c:v>
                </c:pt>
                <c:pt idx="168">
                  <c:v>-22.080000000000329</c:v>
                </c:pt>
                <c:pt idx="169">
                  <c:v>-21.390000000000327</c:v>
                </c:pt>
                <c:pt idx="170">
                  <c:v>-20.700000000000326</c:v>
                </c:pt>
                <c:pt idx="171">
                  <c:v>-20.010000000000325</c:v>
                </c:pt>
                <c:pt idx="172">
                  <c:v>-19.320000000000324</c:v>
                </c:pt>
                <c:pt idx="173">
                  <c:v>-18.630000000000322</c:v>
                </c:pt>
                <c:pt idx="174">
                  <c:v>-17.940000000000321</c:v>
                </c:pt>
                <c:pt idx="175">
                  <c:v>-17.25000000000032</c:v>
                </c:pt>
                <c:pt idx="176">
                  <c:v>-16.560000000000318</c:v>
                </c:pt>
                <c:pt idx="177">
                  <c:v>-15.870000000000319</c:v>
                </c:pt>
                <c:pt idx="178">
                  <c:v>-15.180000000000319</c:v>
                </c:pt>
                <c:pt idx="179">
                  <c:v>-14.49000000000032</c:v>
                </c:pt>
                <c:pt idx="180">
                  <c:v>-13.80000000000032</c:v>
                </c:pt>
                <c:pt idx="181">
                  <c:v>-13.110000000000321</c:v>
                </c:pt>
                <c:pt idx="182">
                  <c:v>-12.420000000000321</c:v>
                </c:pt>
                <c:pt idx="183">
                  <c:v>-11.730000000000322</c:v>
                </c:pt>
                <c:pt idx="184">
                  <c:v>-11.040000000000322</c:v>
                </c:pt>
                <c:pt idx="185">
                  <c:v>-10.350000000000323</c:v>
                </c:pt>
                <c:pt idx="186">
                  <c:v>-9.6600000000003234</c:v>
                </c:pt>
                <c:pt idx="187">
                  <c:v>-8.9700000000003239</c:v>
                </c:pt>
                <c:pt idx="188">
                  <c:v>-8.2800000000003244</c:v>
                </c:pt>
                <c:pt idx="189">
                  <c:v>-7.5900000000003249</c:v>
                </c:pt>
                <c:pt idx="190">
                  <c:v>-6.9000000000003254</c:v>
                </c:pt>
                <c:pt idx="191">
                  <c:v>-6.2100000000003259</c:v>
                </c:pt>
                <c:pt idx="192">
                  <c:v>-5.5200000000003264</c:v>
                </c:pt>
                <c:pt idx="193">
                  <c:v>-4.8300000000003269</c:v>
                </c:pt>
                <c:pt idx="194">
                  <c:v>-4.1400000000003274</c:v>
                </c:pt>
                <c:pt idx="195">
                  <c:v>-3.4500000000003275</c:v>
                </c:pt>
                <c:pt idx="196">
                  <c:v>-2.7600000000003275</c:v>
                </c:pt>
                <c:pt idx="197">
                  <c:v>-2.0700000000003276</c:v>
                </c:pt>
                <c:pt idx="198">
                  <c:v>-1.3800000000003276</c:v>
                </c:pt>
                <c:pt idx="199">
                  <c:v>-0.69000000000032768</c:v>
                </c:pt>
                <c:pt idx="200">
                  <c:v>-3.2773783686934621E-13</c:v>
                </c:pt>
                <c:pt idx="201">
                  <c:v>0.68999999999967221</c:v>
                </c:pt>
                <c:pt idx="202">
                  <c:v>1.3799999999996722</c:v>
                </c:pt>
                <c:pt idx="203">
                  <c:v>2.0699999999996721</c:v>
                </c:pt>
                <c:pt idx="204">
                  <c:v>2.759999999999672</c:v>
                </c:pt>
                <c:pt idx="205">
                  <c:v>3.449999999999672</c:v>
                </c:pt>
                <c:pt idx="206">
                  <c:v>4.1399999999996719</c:v>
                </c:pt>
                <c:pt idx="207">
                  <c:v>4.8299999999996714</c:v>
                </c:pt>
                <c:pt idx="208">
                  <c:v>5.5199999999996709</c:v>
                </c:pt>
                <c:pt idx="209">
                  <c:v>6.2099999999996705</c:v>
                </c:pt>
                <c:pt idx="210">
                  <c:v>6.89999999999967</c:v>
                </c:pt>
                <c:pt idx="211">
                  <c:v>7.5899999999996695</c:v>
                </c:pt>
                <c:pt idx="212">
                  <c:v>8.279999999999669</c:v>
                </c:pt>
                <c:pt idx="213">
                  <c:v>8.9699999999996685</c:v>
                </c:pt>
                <c:pt idx="214">
                  <c:v>9.659999999999668</c:v>
                </c:pt>
                <c:pt idx="215">
                  <c:v>10.349999999999667</c:v>
                </c:pt>
                <c:pt idx="216">
                  <c:v>11.039999999999667</c:v>
                </c:pt>
                <c:pt idx="217">
                  <c:v>11.729999999999666</c:v>
                </c:pt>
                <c:pt idx="218">
                  <c:v>12.419999999999666</c:v>
                </c:pt>
                <c:pt idx="219">
                  <c:v>13.109999999999665</c:v>
                </c:pt>
                <c:pt idx="220">
                  <c:v>13.799999999999665</c:v>
                </c:pt>
                <c:pt idx="221">
                  <c:v>14.489999999999664</c:v>
                </c:pt>
                <c:pt idx="222">
                  <c:v>15.179999999999664</c:v>
                </c:pt>
                <c:pt idx="223">
                  <c:v>15.869999999999663</c:v>
                </c:pt>
                <c:pt idx="224">
                  <c:v>16.559999999999665</c:v>
                </c:pt>
                <c:pt idx="225">
                  <c:v>17.249999999999666</c:v>
                </c:pt>
                <c:pt idx="226">
                  <c:v>17.939999999999667</c:v>
                </c:pt>
                <c:pt idx="227">
                  <c:v>18.629999999999669</c:v>
                </c:pt>
                <c:pt idx="228">
                  <c:v>19.31999999999967</c:v>
                </c:pt>
                <c:pt idx="229">
                  <c:v>20.009999999999671</c:v>
                </c:pt>
                <c:pt idx="230">
                  <c:v>20.699999999999672</c:v>
                </c:pt>
                <c:pt idx="231">
                  <c:v>21.389999999999674</c:v>
                </c:pt>
                <c:pt idx="232">
                  <c:v>22.079999999999675</c:v>
                </c:pt>
                <c:pt idx="233">
                  <c:v>22.769999999999676</c:v>
                </c:pt>
                <c:pt idx="234">
                  <c:v>23.459999999999678</c:v>
                </c:pt>
                <c:pt idx="235">
                  <c:v>24.149999999999679</c:v>
                </c:pt>
                <c:pt idx="236">
                  <c:v>24.83999999999968</c:v>
                </c:pt>
                <c:pt idx="237">
                  <c:v>25.529999999999681</c:v>
                </c:pt>
                <c:pt idx="238">
                  <c:v>26.219999999999683</c:v>
                </c:pt>
                <c:pt idx="239">
                  <c:v>26.909999999999684</c:v>
                </c:pt>
                <c:pt idx="240">
                  <c:v>27.599999999999685</c:v>
                </c:pt>
                <c:pt idx="241">
                  <c:v>28.289999999999687</c:v>
                </c:pt>
                <c:pt idx="242">
                  <c:v>28.979999999999688</c:v>
                </c:pt>
                <c:pt idx="243">
                  <c:v>29.669999999999689</c:v>
                </c:pt>
                <c:pt idx="244">
                  <c:v>30.35999999999969</c:v>
                </c:pt>
                <c:pt idx="245">
                  <c:v>31.049999999999692</c:v>
                </c:pt>
                <c:pt idx="246">
                  <c:v>31.739999999999693</c:v>
                </c:pt>
                <c:pt idx="247">
                  <c:v>32.429999999999694</c:v>
                </c:pt>
                <c:pt idx="248">
                  <c:v>33.119999999999692</c:v>
                </c:pt>
                <c:pt idx="249">
                  <c:v>33.80999999999969</c:v>
                </c:pt>
                <c:pt idx="250">
                  <c:v>34.499999999999687</c:v>
                </c:pt>
                <c:pt idx="251">
                  <c:v>35.189999999999685</c:v>
                </c:pt>
                <c:pt idx="252">
                  <c:v>35.879999999999683</c:v>
                </c:pt>
                <c:pt idx="253">
                  <c:v>36.569999999999681</c:v>
                </c:pt>
                <c:pt idx="254">
                  <c:v>37.259999999999678</c:v>
                </c:pt>
                <c:pt idx="255">
                  <c:v>37.949999999999676</c:v>
                </c:pt>
                <c:pt idx="256">
                  <c:v>38.639999999999674</c:v>
                </c:pt>
                <c:pt idx="257">
                  <c:v>39.329999999999671</c:v>
                </c:pt>
                <c:pt idx="258">
                  <c:v>40.019999999999669</c:v>
                </c:pt>
                <c:pt idx="259">
                  <c:v>40.709999999999667</c:v>
                </c:pt>
                <c:pt idx="260">
                  <c:v>41.399999999999665</c:v>
                </c:pt>
                <c:pt idx="261">
                  <c:v>42.089999999999662</c:v>
                </c:pt>
                <c:pt idx="262">
                  <c:v>42.77999999999966</c:v>
                </c:pt>
                <c:pt idx="263">
                  <c:v>43.469999999999658</c:v>
                </c:pt>
                <c:pt idx="264">
                  <c:v>44.159999999999656</c:v>
                </c:pt>
                <c:pt idx="265">
                  <c:v>44.849999999999653</c:v>
                </c:pt>
                <c:pt idx="266">
                  <c:v>45.539999999999651</c:v>
                </c:pt>
                <c:pt idx="267">
                  <c:v>46.229999999999649</c:v>
                </c:pt>
                <c:pt idx="268">
                  <c:v>46.919999999999646</c:v>
                </c:pt>
                <c:pt idx="269">
                  <c:v>47.609999999999644</c:v>
                </c:pt>
                <c:pt idx="270">
                  <c:v>48.299999999999642</c:v>
                </c:pt>
                <c:pt idx="271">
                  <c:v>48.98999999999964</c:v>
                </c:pt>
                <c:pt idx="272">
                  <c:v>49.679999999999637</c:v>
                </c:pt>
                <c:pt idx="273">
                  <c:v>50.369999999999635</c:v>
                </c:pt>
                <c:pt idx="274">
                  <c:v>51.059999999999633</c:v>
                </c:pt>
                <c:pt idx="275">
                  <c:v>51.749999999999631</c:v>
                </c:pt>
                <c:pt idx="276">
                  <c:v>52.439999999999628</c:v>
                </c:pt>
                <c:pt idx="277">
                  <c:v>53.129999999999626</c:v>
                </c:pt>
                <c:pt idx="278">
                  <c:v>53.819999999999624</c:v>
                </c:pt>
                <c:pt idx="279">
                  <c:v>54.509999999999621</c:v>
                </c:pt>
                <c:pt idx="280">
                  <c:v>55.199999999999619</c:v>
                </c:pt>
                <c:pt idx="281">
                  <c:v>55.889999999999617</c:v>
                </c:pt>
                <c:pt idx="282">
                  <c:v>56.579999999999615</c:v>
                </c:pt>
                <c:pt idx="283">
                  <c:v>57.269999999999612</c:v>
                </c:pt>
                <c:pt idx="284">
                  <c:v>57.95999999999961</c:v>
                </c:pt>
                <c:pt idx="285">
                  <c:v>58.649999999999608</c:v>
                </c:pt>
                <c:pt idx="286">
                  <c:v>59.339999999999606</c:v>
                </c:pt>
                <c:pt idx="287">
                  <c:v>60.029999999999603</c:v>
                </c:pt>
                <c:pt idx="288">
                  <c:v>60.719999999999601</c:v>
                </c:pt>
                <c:pt idx="289">
                  <c:v>61.409999999999599</c:v>
                </c:pt>
                <c:pt idx="290">
                  <c:v>62.099999999999596</c:v>
                </c:pt>
                <c:pt idx="291">
                  <c:v>62.789999999999594</c:v>
                </c:pt>
                <c:pt idx="292">
                  <c:v>63.479999999999592</c:v>
                </c:pt>
                <c:pt idx="293">
                  <c:v>64.16999999999959</c:v>
                </c:pt>
                <c:pt idx="294">
                  <c:v>64.859999999999587</c:v>
                </c:pt>
                <c:pt idx="295">
                  <c:v>65.549999999999585</c:v>
                </c:pt>
                <c:pt idx="296">
                  <c:v>66.239999999999583</c:v>
                </c:pt>
                <c:pt idx="297">
                  <c:v>66.92999999999958</c:v>
                </c:pt>
                <c:pt idx="298">
                  <c:v>67.619999999999578</c:v>
                </c:pt>
                <c:pt idx="299">
                  <c:v>68.309999999999576</c:v>
                </c:pt>
                <c:pt idx="300">
                  <c:v>68.999999999999574</c:v>
                </c:pt>
                <c:pt idx="301">
                  <c:v>69.689999999999571</c:v>
                </c:pt>
                <c:pt idx="302">
                  <c:v>70.379999999999569</c:v>
                </c:pt>
                <c:pt idx="303">
                  <c:v>71.069999999999567</c:v>
                </c:pt>
                <c:pt idx="304">
                  <c:v>71.759999999999565</c:v>
                </c:pt>
                <c:pt idx="305">
                  <c:v>72.449999999999562</c:v>
                </c:pt>
                <c:pt idx="306">
                  <c:v>73.13999999999956</c:v>
                </c:pt>
                <c:pt idx="307">
                  <c:v>73.829999999999558</c:v>
                </c:pt>
                <c:pt idx="308">
                  <c:v>74.519999999999555</c:v>
                </c:pt>
                <c:pt idx="309">
                  <c:v>75.209999999999553</c:v>
                </c:pt>
                <c:pt idx="310">
                  <c:v>75.899999999999551</c:v>
                </c:pt>
                <c:pt idx="311">
                  <c:v>76.589999999999549</c:v>
                </c:pt>
                <c:pt idx="312">
                  <c:v>77.279999999999546</c:v>
                </c:pt>
                <c:pt idx="313">
                  <c:v>77.969999999999544</c:v>
                </c:pt>
                <c:pt idx="314">
                  <c:v>78.659999999999542</c:v>
                </c:pt>
                <c:pt idx="315">
                  <c:v>79.34999999999954</c:v>
                </c:pt>
                <c:pt idx="316">
                  <c:v>80.039999999999537</c:v>
                </c:pt>
                <c:pt idx="317">
                  <c:v>80.729999999999535</c:v>
                </c:pt>
                <c:pt idx="318">
                  <c:v>81.419999999999533</c:v>
                </c:pt>
                <c:pt idx="319">
                  <c:v>82.10999999999953</c:v>
                </c:pt>
                <c:pt idx="320">
                  <c:v>82.799999999999528</c:v>
                </c:pt>
                <c:pt idx="321">
                  <c:v>83.489999999999526</c:v>
                </c:pt>
                <c:pt idx="322">
                  <c:v>84.179999999999524</c:v>
                </c:pt>
                <c:pt idx="323">
                  <c:v>84.869999999999521</c:v>
                </c:pt>
                <c:pt idx="324">
                  <c:v>85.559999999999519</c:v>
                </c:pt>
                <c:pt idx="325">
                  <c:v>86.249999999999517</c:v>
                </c:pt>
                <c:pt idx="326">
                  <c:v>86.939999999999515</c:v>
                </c:pt>
                <c:pt idx="327">
                  <c:v>87.629999999999512</c:v>
                </c:pt>
                <c:pt idx="328">
                  <c:v>88.31999999999951</c:v>
                </c:pt>
                <c:pt idx="329">
                  <c:v>89.009999999999508</c:v>
                </c:pt>
                <c:pt idx="330">
                  <c:v>89.699999999999505</c:v>
                </c:pt>
                <c:pt idx="331">
                  <c:v>90.389999999999503</c:v>
                </c:pt>
                <c:pt idx="332">
                  <c:v>91.079999999999501</c:v>
                </c:pt>
                <c:pt idx="333">
                  <c:v>91.769999999999499</c:v>
                </c:pt>
                <c:pt idx="334">
                  <c:v>92.459999999999496</c:v>
                </c:pt>
                <c:pt idx="335">
                  <c:v>93.149999999999494</c:v>
                </c:pt>
                <c:pt idx="336">
                  <c:v>93.839999999999492</c:v>
                </c:pt>
                <c:pt idx="337">
                  <c:v>94.52999999999949</c:v>
                </c:pt>
                <c:pt idx="338">
                  <c:v>95.219999999999487</c:v>
                </c:pt>
                <c:pt idx="339">
                  <c:v>95.909999999999485</c:v>
                </c:pt>
                <c:pt idx="340">
                  <c:v>96.599999999999483</c:v>
                </c:pt>
                <c:pt idx="341">
                  <c:v>97.28999999999948</c:v>
                </c:pt>
                <c:pt idx="342">
                  <c:v>97.979999999999478</c:v>
                </c:pt>
                <c:pt idx="343">
                  <c:v>98.669999999999476</c:v>
                </c:pt>
                <c:pt idx="344">
                  <c:v>99.359999999999474</c:v>
                </c:pt>
                <c:pt idx="345">
                  <c:v>100.04999999999947</c:v>
                </c:pt>
                <c:pt idx="346">
                  <c:v>100.73999999999947</c:v>
                </c:pt>
                <c:pt idx="347">
                  <c:v>101.42999999999947</c:v>
                </c:pt>
                <c:pt idx="348">
                  <c:v>102.11999999999946</c:v>
                </c:pt>
                <c:pt idx="349">
                  <c:v>102.80999999999946</c:v>
                </c:pt>
                <c:pt idx="350">
                  <c:v>103.49999999999946</c:v>
                </c:pt>
                <c:pt idx="351">
                  <c:v>104.18999999999946</c:v>
                </c:pt>
                <c:pt idx="352">
                  <c:v>104.87999999999946</c:v>
                </c:pt>
                <c:pt idx="353">
                  <c:v>105.56999999999945</c:v>
                </c:pt>
                <c:pt idx="354">
                  <c:v>106.25999999999945</c:v>
                </c:pt>
                <c:pt idx="355">
                  <c:v>106.94999999999945</c:v>
                </c:pt>
                <c:pt idx="356">
                  <c:v>107.63999999999945</c:v>
                </c:pt>
                <c:pt idx="357">
                  <c:v>108.32999999999944</c:v>
                </c:pt>
                <c:pt idx="358">
                  <c:v>109.01999999999944</c:v>
                </c:pt>
                <c:pt idx="359">
                  <c:v>109.70999999999944</c:v>
                </c:pt>
                <c:pt idx="360">
                  <c:v>110.39999999999944</c:v>
                </c:pt>
                <c:pt idx="361">
                  <c:v>111.08999999999943</c:v>
                </c:pt>
                <c:pt idx="362">
                  <c:v>111.77999999999943</c:v>
                </c:pt>
                <c:pt idx="363">
                  <c:v>112.46999999999943</c:v>
                </c:pt>
                <c:pt idx="364">
                  <c:v>113.15999999999943</c:v>
                </c:pt>
                <c:pt idx="365">
                  <c:v>113.84999999999943</c:v>
                </c:pt>
                <c:pt idx="366">
                  <c:v>114.53999999999942</c:v>
                </c:pt>
                <c:pt idx="367">
                  <c:v>115.22999999999942</c:v>
                </c:pt>
                <c:pt idx="368">
                  <c:v>115.91999999999942</c:v>
                </c:pt>
                <c:pt idx="369">
                  <c:v>116.60999999999942</c:v>
                </c:pt>
                <c:pt idx="370">
                  <c:v>117.29999999999941</c:v>
                </c:pt>
                <c:pt idx="371">
                  <c:v>117.98999999999941</c:v>
                </c:pt>
                <c:pt idx="372">
                  <c:v>118.67999999999941</c:v>
                </c:pt>
                <c:pt idx="373">
                  <c:v>119.36999999999941</c:v>
                </c:pt>
                <c:pt idx="374">
                  <c:v>120.05999999999941</c:v>
                </c:pt>
                <c:pt idx="375">
                  <c:v>120.7499999999994</c:v>
                </c:pt>
                <c:pt idx="376">
                  <c:v>121.4399999999994</c:v>
                </c:pt>
                <c:pt idx="377">
                  <c:v>122.1299999999994</c:v>
                </c:pt>
                <c:pt idx="378">
                  <c:v>122.8199999999994</c:v>
                </c:pt>
                <c:pt idx="379">
                  <c:v>123.50999999999939</c:v>
                </c:pt>
                <c:pt idx="380">
                  <c:v>124.19999999999939</c:v>
                </c:pt>
                <c:pt idx="381">
                  <c:v>124.88999999999939</c:v>
                </c:pt>
                <c:pt idx="382">
                  <c:v>125.57999999999939</c:v>
                </c:pt>
                <c:pt idx="383">
                  <c:v>126.26999999999938</c:v>
                </c:pt>
                <c:pt idx="384">
                  <c:v>126.95999999999938</c:v>
                </c:pt>
                <c:pt idx="385">
                  <c:v>127.64999999999938</c:v>
                </c:pt>
                <c:pt idx="386">
                  <c:v>128.33999999999938</c:v>
                </c:pt>
                <c:pt idx="387">
                  <c:v>129.02999999999938</c:v>
                </c:pt>
                <c:pt idx="388">
                  <c:v>129.71999999999937</c:v>
                </c:pt>
                <c:pt idx="389">
                  <c:v>130.40999999999937</c:v>
                </c:pt>
                <c:pt idx="390">
                  <c:v>131.09999999999937</c:v>
                </c:pt>
                <c:pt idx="391">
                  <c:v>131.78999999999937</c:v>
                </c:pt>
                <c:pt idx="392">
                  <c:v>132.47999999999936</c:v>
                </c:pt>
                <c:pt idx="393">
                  <c:v>133.16999999999936</c:v>
                </c:pt>
                <c:pt idx="394">
                  <c:v>133.85999999999936</c:v>
                </c:pt>
                <c:pt idx="395">
                  <c:v>134.54999999999936</c:v>
                </c:pt>
                <c:pt idx="396">
                  <c:v>135.23999999999936</c:v>
                </c:pt>
                <c:pt idx="397">
                  <c:v>135.92999999999935</c:v>
                </c:pt>
                <c:pt idx="398">
                  <c:v>136.61999999999935</c:v>
                </c:pt>
                <c:pt idx="399">
                  <c:v>137.30999999999935</c:v>
                </c:pt>
                <c:pt idx="400">
                  <c:v>137.99999999999935</c:v>
                </c:pt>
              </c:numCache>
            </c:numRef>
          </c:xVal>
          <c:yVal>
            <c:numRef>
              <c:f>CALCULATIONS!$O$30:$O$430</c:f>
              <c:numCache>
                <c:formatCode>General</c:formatCode>
                <c:ptCount val="401"/>
                <c:pt idx="0">
                  <c:v>-1.7763568394002505E-12</c:v>
                </c:pt>
                <c:pt idx="1">
                  <c:v>-0.21394469204949473</c:v>
                </c:pt>
                <c:pt idx="2">
                  <c:v>-0.42654230614047606</c:v>
                </c:pt>
                <c:pt idx="3">
                  <c:v>-0.63779561492083303</c:v>
                </c:pt>
                <c:pt idx="4">
                  <c:v>-0.84770738103756571</c:v>
                </c:pt>
                <c:pt idx="5">
                  <c:v>-1.0562803571918522</c:v>
                </c:pt>
                <c:pt idx="6">
                  <c:v>-1.2635172861923394</c:v>
                </c:pt>
                <c:pt idx="7">
                  <c:v>-1.4694209010066572</c:v>
                </c:pt>
                <c:pt idx="8">
                  <c:v>-1.6739939248147095</c:v>
                </c:pt>
                <c:pt idx="9">
                  <c:v>-1.8772390710690701</c:v>
                </c:pt>
                <c:pt idx="10">
                  <c:v>-2.0791590435287333</c:v>
                </c:pt>
                <c:pt idx="11">
                  <c:v>-2.279756536337274</c:v>
                </c:pt>
                <c:pt idx="12">
                  <c:v>-2.4790342340388349</c:v>
                </c:pt>
                <c:pt idx="13">
                  <c:v>-2.6769948116687203</c:v>
                </c:pt>
                <c:pt idx="14">
                  <c:v>-2.8736409347747127</c:v>
                </c:pt>
                <c:pt idx="15">
                  <c:v>-3.0689752594810216</c:v>
                </c:pt>
                <c:pt idx="16">
                  <c:v>-3.2630004325344686</c:v>
                </c:pt>
                <c:pt idx="17">
                  <c:v>-3.4557190913524494</c:v>
                </c:pt>
                <c:pt idx="18">
                  <c:v>-3.6471338640726714</c:v>
                </c:pt>
                <c:pt idx="19">
                  <c:v>-3.837247369608221</c:v>
                </c:pt>
                <c:pt idx="20">
                  <c:v>-4.0260622176866434</c:v>
                </c:pt>
                <c:pt idx="21">
                  <c:v>-4.2135810089032333</c:v>
                </c:pt>
                <c:pt idx="22">
                  <c:v>-4.3998063347761018</c:v>
                </c:pt>
                <c:pt idx="23">
                  <c:v>-4.5847407777674931</c:v>
                </c:pt>
                <c:pt idx="24">
                  <c:v>-4.7683869113654964</c:v>
                </c:pt>
                <c:pt idx="25">
                  <c:v>-4.9507473001177971</c:v>
                </c:pt>
                <c:pt idx="26">
                  <c:v>-5.1318244996600981</c:v>
                </c:pt>
                <c:pt idx="27">
                  <c:v>-5.311621056788951</c:v>
                </c:pt>
                <c:pt idx="28">
                  <c:v>-5.4901395094866245</c:v>
                </c:pt>
                <c:pt idx="29">
                  <c:v>-5.6673823869886064</c:v>
                </c:pt>
                <c:pt idx="30">
                  <c:v>-5.8433522098049195</c:v>
                </c:pt>
                <c:pt idx="31">
                  <c:v>-6.0180514897858473</c:v>
                </c:pt>
                <c:pt idx="32">
                  <c:v>-6.1914827301432496</c:v>
                </c:pt>
                <c:pt idx="33">
                  <c:v>-6.363648425534052</c:v>
                </c:pt>
                <c:pt idx="34">
                  <c:v>-6.53455106205314</c:v>
                </c:pt>
                <c:pt idx="35">
                  <c:v>-6.7041931173150715</c:v>
                </c:pt>
                <c:pt idx="36">
                  <c:v>-6.8725770604931569</c:v>
                </c:pt>
                <c:pt idx="37">
                  <c:v>-7.0397053523318931</c:v>
                </c:pt>
                <c:pt idx="38">
                  <c:v>-7.205580445241111</c:v>
                </c:pt>
                <c:pt idx="39">
                  <c:v>-7.3702047832924222</c:v>
                </c:pt>
                <c:pt idx="40">
                  <c:v>-7.5335808022796158</c:v>
                </c:pt>
                <c:pt idx="41">
                  <c:v>-7.6957109297719484</c:v>
                </c:pt>
                <c:pt idx="42">
                  <c:v>-7.8565975851354608</c:v>
                </c:pt>
                <c:pt idx="43">
                  <c:v>-8.016243179582716</c:v>
                </c:pt>
                <c:pt idx="44">
                  <c:v>-8.1746501162243135</c:v>
                </c:pt>
                <c:pt idx="45">
                  <c:v>-8.3318207900813235</c:v>
                </c:pt>
                <c:pt idx="46">
                  <c:v>-8.4877575881669998</c:v>
                </c:pt>
                <c:pt idx="47">
                  <c:v>-8.6424628894921085</c:v>
                </c:pt>
                <c:pt idx="48">
                  <c:v>-8.7959390651146663</c:v>
                </c:pt>
                <c:pt idx="49">
                  <c:v>-8.9481884781914545</c:v>
                </c:pt>
                <c:pt idx="50">
                  <c:v>-9.0992134840046646</c:v>
                </c:pt>
                <c:pt idx="51">
                  <c:v>-9.2490164300063071</c:v>
                </c:pt>
                <c:pt idx="52">
                  <c:v>-9.3975996558501862</c:v>
                </c:pt>
                <c:pt idx="53">
                  <c:v>-9.5449654934469663</c:v>
                </c:pt>
                <c:pt idx="54">
                  <c:v>-9.6911162669801598</c:v>
                </c:pt>
                <c:pt idx="55">
                  <c:v>-9.8360542929700756</c:v>
                </c:pt>
                <c:pt idx="56">
                  <c:v>-9.9797818802862537</c:v>
                </c:pt>
                <c:pt idx="57">
                  <c:v>-10.122301330200756</c:v>
                </c:pt>
                <c:pt idx="58">
                  <c:v>-10.263614936425469</c:v>
                </c:pt>
                <c:pt idx="59">
                  <c:v>-10.403724985142304</c:v>
                </c:pt>
                <c:pt idx="60">
                  <c:v>-10.54263375504938</c:v>
                </c:pt>
                <c:pt idx="61">
                  <c:v>-10.680343517378788</c:v>
                </c:pt>
                <c:pt idx="62">
                  <c:v>-10.816856535962316</c:v>
                </c:pt>
                <c:pt idx="63">
                  <c:v>-10.95217506723678</c:v>
                </c:pt>
                <c:pt idx="64">
                  <c:v>-11.086301360307971</c:v>
                </c:pt>
                <c:pt idx="65">
                  <c:v>-11.219237656966641</c:v>
                </c:pt>
                <c:pt idx="66">
                  <c:v>-11.350986191738244</c:v>
                </c:pt>
                <c:pt idx="67">
                  <c:v>-11.481549191893592</c:v>
                </c:pt>
                <c:pt idx="68">
                  <c:v>-11.610928877518134</c:v>
                </c:pt>
                <c:pt idx="69">
                  <c:v>-11.739127461531496</c:v>
                </c:pt>
                <c:pt idx="70">
                  <c:v>-11.866147149701689</c:v>
                </c:pt>
                <c:pt idx="71">
                  <c:v>-11.991990140726827</c:v>
                </c:pt>
                <c:pt idx="72">
                  <c:v>-12.1166586262067</c:v>
                </c:pt>
                <c:pt idx="73">
                  <c:v>-12.240154790744029</c:v>
                </c:pt>
                <c:pt idx="74">
                  <c:v>-12.362480811924925</c:v>
                </c:pt>
                <c:pt idx="75">
                  <c:v>-12.483638860379287</c:v>
                </c:pt>
                <c:pt idx="76">
                  <c:v>-12.603631099805668</c:v>
                </c:pt>
                <c:pt idx="77">
                  <c:v>-12.72245968700858</c:v>
                </c:pt>
                <c:pt idx="78">
                  <c:v>-12.840126771930471</c:v>
                </c:pt>
                <c:pt idx="79">
                  <c:v>-12.956634497678365</c:v>
                </c:pt>
                <c:pt idx="80">
                  <c:v>-13.071985000570052</c:v>
                </c:pt>
                <c:pt idx="81">
                  <c:v>-13.186180410135862</c:v>
                </c:pt>
                <c:pt idx="82">
                  <c:v>-13.299222849209258</c:v>
                </c:pt>
                <c:pt idx="83">
                  <c:v>-13.411114433889537</c:v>
                </c:pt>
                <c:pt idx="84">
                  <c:v>-13.521857273616433</c:v>
                </c:pt>
                <c:pt idx="85">
                  <c:v>-13.631453471189658</c:v>
                </c:pt>
                <c:pt idx="86">
                  <c:v>-13.739905122811535</c:v>
                </c:pt>
                <c:pt idx="87">
                  <c:v>-13.847214318099432</c:v>
                </c:pt>
                <c:pt idx="88">
                  <c:v>-13.953383140117737</c:v>
                </c:pt>
                <c:pt idx="89">
                  <c:v>-14.058413665432923</c:v>
                </c:pt>
                <c:pt idx="90">
                  <c:v>-14.162307964111776</c:v>
                </c:pt>
                <c:pt idx="91">
                  <c:v>-14.265068099780009</c:v>
                </c:pt>
                <c:pt idx="92">
                  <c:v>-14.366696129634704</c:v>
                </c:pt>
                <c:pt idx="93">
                  <c:v>-14.46719410447983</c:v>
                </c:pt>
                <c:pt idx="94">
                  <c:v>-14.566564068745791</c:v>
                </c:pt>
                <c:pt idx="95">
                  <c:v>-14.664808060542711</c:v>
                </c:pt>
                <c:pt idx="96">
                  <c:v>-14.76192811166932</c:v>
                </c:pt>
                <c:pt idx="97">
                  <c:v>-14.857926247653808</c:v>
                </c:pt>
                <c:pt idx="98">
                  <c:v>-14.952804487766258</c:v>
                </c:pt>
                <c:pt idx="99">
                  <c:v>-15.046564845071941</c:v>
                </c:pt>
                <c:pt idx="100">
                  <c:v>-15.13920932643309</c:v>
                </c:pt>
                <c:pt idx="101">
                  <c:v>-15.230739932563964</c:v>
                </c:pt>
                <c:pt idx="102">
                  <c:v>-15.321158658039735</c:v>
                </c:pt>
                <c:pt idx="103">
                  <c:v>-15.41046749133379</c:v>
                </c:pt>
                <c:pt idx="104">
                  <c:v>-15.498668414842598</c:v>
                </c:pt>
                <c:pt idx="105">
                  <c:v>-15.585763404912356</c:v>
                </c:pt>
                <c:pt idx="106">
                  <c:v>-15.671754431870966</c:v>
                </c:pt>
                <c:pt idx="107">
                  <c:v>-15.756643460054676</c:v>
                </c:pt>
                <c:pt idx="108">
                  <c:v>-15.840432447824071</c:v>
                </c:pt>
                <c:pt idx="109">
                  <c:v>-15.923123347612034</c:v>
                </c:pt>
                <c:pt idx="110">
                  <c:v>-16.004718105937954</c:v>
                </c:pt>
                <c:pt idx="111">
                  <c:v>-16.08521866342727</c:v>
                </c:pt>
                <c:pt idx="112">
                  <c:v>-16.164626954855876</c:v>
                </c:pt>
                <c:pt idx="113">
                  <c:v>-16.242944909166113</c:v>
                </c:pt>
                <c:pt idx="114">
                  <c:v>-16.320174449493408</c:v>
                </c:pt>
                <c:pt idx="115">
                  <c:v>-16.396317493192925</c:v>
                </c:pt>
                <c:pt idx="116">
                  <c:v>-16.471375951864431</c:v>
                </c:pt>
                <c:pt idx="117">
                  <c:v>-16.545351731386049</c:v>
                </c:pt>
                <c:pt idx="118">
                  <c:v>-16.618246731933795</c:v>
                </c:pt>
                <c:pt idx="119">
                  <c:v>-16.690062848001119</c:v>
                </c:pt>
                <c:pt idx="120">
                  <c:v>-16.760801968429107</c:v>
                </c:pt>
                <c:pt idx="121">
                  <c:v>-16.830465976441999</c:v>
                </c:pt>
                <c:pt idx="122">
                  <c:v>-16.899056749659636</c:v>
                </c:pt>
                <c:pt idx="123">
                  <c:v>-16.966576160120539</c:v>
                </c:pt>
                <c:pt idx="124">
                  <c:v>-17.033026074329882</c:v>
                </c:pt>
                <c:pt idx="125">
                  <c:v>-17.098408353241723</c:v>
                </c:pt>
                <c:pt idx="126">
                  <c:v>-17.162724852328282</c:v>
                </c:pt>
                <c:pt idx="127">
                  <c:v>-17.225977421569283</c:v>
                </c:pt>
                <c:pt idx="128">
                  <c:v>-17.2881679055088</c:v>
                </c:pt>
                <c:pt idx="129">
                  <c:v>-17.349298143248149</c:v>
                </c:pt>
                <c:pt idx="130">
                  <c:v>-17.409369968484967</c:v>
                </c:pt>
                <c:pt idx="131">
                  <c:v>-17.468385209538084</c:v>
                </c:pt>
                <c:pt idx="132">
                  <c:v>-17.526345689375944</c:v>
                </c:pt>
                <c:pt idx="133">
                  <c:v>-17.583253225616602</c:v>
                </c:pt>
                <c:pt idx="134">
                  <c:v>-17.639109630577465</c:v>
                </c:pt>
                <c:pt idx="135">
                  <c:v>-17.693916711294833</c:v>
                </c:pt>
                <c:pt idx="136">
                  <c:v>-17.747676269522117</c:v>
                </c:pt>
                <c:pt idx="137">
                  <c:v>-17.800390101793795</c:v>
                </c:pt>
                <c:pt idx="138">
                  <c:v>-17.852059999405867</c:v>
                </c:pt>
                <c:pt idx="139">
                  <c:v>-17.902687748469148</c:v>
                </c:pt>
                <c:pt idx="140">
                  <c:v>-17.952275129918149</c:v>
                </c:pt>
                <c:pt idx="141">
                  <c:v>-18.000823919541276</c:v>
                </c:pt>
                <c:pt idx="142">
                  <c:v>-18.048335887986156</c:v>
                </c:pt>
                <c:pt idx="143">
                  <c:v>-18.094812800807603</c:v>
                </c:pt>
                <c:pt idx="144">
                  <c:v>-18.140256418462286</c:v>
                </c:pt>
                <c:pt idx="145">
                  <c:v>-18.184668496362022</c:v>
                </c:pt>
                <c:pt idx="146">
                  <c:v>-18.228050784871996</c:v>
                </c:pt>
                <c:pt idx="147">
                  <c:v>-18.270405029321424</c:v>
                </c:pt>
                <c:pt idx="148">
                  <c:v>-18.311732970062167</c:v>
                </c:pt>
                <c:pt idx="149">
                  <c:v>-18.352036342465183</c:v>
                </c:pt>
                <c:pt idx="150">
                  <c:v>-18.391316876945396</c:v>
                </c:pt>
                <c:pt idx="151">
                  <c:v>-18.429576298984784</c:v>
                </c:pt>
                <c:pt idx="152">
                  <c:v>-18.466816329146596</c:v>
                </c:pt>
                <c:pt idx="153">
                  <c:v>-18.503038683114426</c:v>
                </c:pt>
                <c:pt idx="154">
                  <c:v>-18.538245071693993</c:v>
                </c:pt>
                <c:pt idx="155">
                  <c:v>-18.57243720083801</c:v>
                </c:pt>
                <c:pt idx="156">
                  <c:v>-18.605616771679934</c:v>
                </c:pt>
                <c:pt idx="157">
                  <c:v>-18.637785480539293</c:v>
                </c:pt>
                <c:pt idx="158">
                  <c:v>-18.668945018943006</c:v>
                </c:pt>
                <c:pt idx="159">
                  <c:v>-18.699097073653803</c:v>
                </c:pt>
                <c:pt idx="160">
                  <c:v>-18.728243326687988</c:v>
                </c:pt>
                <c:pt idx="161">
                  <c:v>-18.756385455329649</c:v>
                </c:pt>
                <c:pt idx="162">
                  <c:v>-18.783525132159085</c:v>
                </c:pt>
                <c:pt idx="163">
                  <c:v>-18.809664025065231</c:v>
                </c:pt>
                <c:pt idx="164">
                  <c:v>-18.834803797270538</c:v>
                </c:pt>
                <c:pt idx="165">
                  <c:v>-18.858946107341623</c:v>
                </c:pt>
                <c:pt idx="166">
                  <c:v>-18.882092609226575</c:v>
                </c:pt>
                <c:pt idx="167">
                  <c:v>-18.904244952260285</c:v>
                </c:pt>
                <c:pt idx="168">
                  <c:v>-18.92540478117688</c:v>
                </c:pt>
                <c:pt idx="169">
                  <c:v>-18.945573736145249</c:v>
                </c:pt>
                <c:pt idx="170">
                  <c:v>-18.964753452786809</c:v>
                </c:pt>
                <c:pt idx="171">
                  <c:v>-18.982945562184383</c:v>
                </c:pt>
                <c:pt idx="172">
                  <c:v>-19.000151690903522</c:v>
                </c:pt>
                <c:pt idx="173">
                  <c:v>-19.016373461008484</c:v>
                </c:pt>
                <c:pt idx="174">
                  <c:v>-19.031612490104877</c:v>
                </c:pt>
                <c:pt idx="175">
                  <c:v>-19.045870391320108</c:v>
                </c:pt>
                <c:pt idx="176">
                  <c:v>-19.059148773351353</c:v>
                </c:pt>
                <c:pt idx="177">
                  <c:v>-19.071449240462002</c:v>
                </c:pt>
                <c:pt idx="178">
                  <c:v>-19.082773392524288</c:v>
                </c:pt>
                <c:pt idx="179">
                  <c:v>-19.093122825021069</c:v>
                </c:pt>
                <c:pt idx="180">
                  <c:v>-19.102499129056483</c:v>
                </c:pt>
                <c:pt idx="181">
                  <c:v>-19.110903891400355</c:v>
                </c:pt>
                <c:pt idx="182">
                  <c:v>-19.118338694475767</c:v>
                </c:pt>
                <c:pt idx="183">
                  <c:v>-19.124805116405241</c:v>
                </c:pt>
                <c:pt idx="184">
                  <c:v>-19.130304730998304</c:v>
                </c:pt>
                <c:pt idx="185">
                  <c:v>-19.134839107794122</c:v>
                </c:pt>
                <c:pt idx="186">
                  <c:v>-19.138409812077484</c:v>
                </c:pt>
                <c:pt idx="187">
                  <c:v>-19.141018404871701</c:v>
                </c:pt>
                <c:pt idx="188">
                  <c:v>-19.142666442983014</c:v>
                </c:pt>
                <c:pt idx="189">
                  <c:v>-19.143355479004143</c:v>
                </c:pt>
                <c:pt idx="190">
                  <c:v>-19.143087061335606</c:v>
                </c:pt>
                <c:pt idx="191">
                  <c:v>-19.14186273419638</c:v>
                </c:pt>
                <c:pt idx="192">
                  <c:v>-19.139684037662974</c:v>
                </c:pt>
                <c:pt idx="193">
                  <c:v>-19.13655250764279</c:v>
                </c:pt>
                <c:pt idx="194">
                  <c:v>-19.13246967593274</c:v>
                </c:pt>
                <c:pt idx="195">
                  <c:v>-19.127437070229902</c:v>
                </c:pt>
                <c:pt idx="196">
                  <c:v>-19.121456214120869</c:v>
                </c:pt>
                <c:pt idx="197">
                  <c:v>-19.114528627122596</c:v>
                </c:pt>
                <c:pt idx="198">
                  <c:v>-19.106655824685959</c:v>
                </c:pt>
                <c:pt idx="199">
                  <c:v>-19.09783931823128</c:v>
                </c:pt>
                <c:pt idx="200">
                  <c:v>-19.088080615141223</c:v>
                </c:pt>
                <c:pt idx="201">
                  <c:v>-19.077381218787437</c:v>
                </c:pt>
                <c:pt idx="202">
                  <c:v>-19.065742628544768</c:v>
                </c:pt>
                <c:pt idx="203">
                  <c:v>-19.053166339819683</c:v>
                </c:pt>
                <c:pt idx="204">
                  <c:v>-19.039653844041382</c:v>
                </c:pt>
                <c:pt idx="205">
                  <c:v>-19.025206628690228</c:v>
                </c:pt>
                <c:pt idx="206">
                  <c:v>-19.009826177329714</c:v>
                </c:pt>
                <c:pt idx="207">
                  <c:v>-18.993513969586928</c:v>
                </c:pt>
                <c:pt idx="208">
                  <c:v>-18.976271481198737</c:v>
                </c:pt>
                <c:pt idx="209">
                  <c:v>-18.958100184017113</c:v>
                </c:pt>
                <c:pt idx="210">
                  <c:v>-18.939001546019796</c:v>
                </c:pt>
                <c:pt idx="211">
                  <c:v>-18.918977031326278</c:v>
                </c:pt>
                <c:pt idx="212">
                  <c:v>-18.898028100219122</c:v>
                </c:pt>
                <c:pt idx="213">
                  <c:v>-18.876156209159944</c:v>
                </c:pt>
                <c:pt idx="214">
                  <c:v>-18.853362810792973</c:v>
                </c:pt>
                <c:pt idx="215">
                  <c:v>-18.829649353964584</c:v>
                </c:pt>
                <c:pt idx="216">
                  <c:v>-18.805017283755276</c:v>
                </c:pt>
                <c:pt idx="217">
                  <c:v>-18.779468041461911</c:v>
                </c:pt>
                <c:pt idx="218">
                  <c:v>-18.753003064643892</c:v>
                </c:pt>
                <c:pt idx="219">
                  <c:v>-18.725623787119616</c:v>
                </c:pt>
                <c:pt idx="220">
                  <c:v>-18.697331638987791</c:v>
                </c:pt>
                <c:pt idx="221">
                  <c:v>-18.66812804662743</c:v>
                </c:pt>
                <c:pt idx="222">
                  <c:v>-18.63801443274582</c:v>
                </c:pt>
                <c:pt idx="223">
                  <c:v>-18.606992216355422</c:v>
                </c:pt>
                <c:pt idx="224">
                  <c:v>-18.575062812812959</c:v>
                </c:pt>
                <c:pt idx="225">
                  <c:v>-18.542227633819408</c:v>
                </c:pt>
                <c:pt idx="226">
                  <c:v>-18.508488087439545</c:v>
                </c:pt>
                <c:pt idx="227">
                  <c:v>-18.473845578121484</c:v>
                </c:pt>
                <c:pt idx="228">
                  <c:v>-18.438301506705557</c:v>
                </c:pt>
                <c:pt idx="229">
                  <c:v>-18.401857270426092</c:v>
                </c:pt>
                <c:pt idx="230">
                  <c:v>-18.364514262957599</c:v>
                </c:pt>
                <c:pt idx="231">
                  <c:v>-18.326273874386345</c:v>
                </c:pt>
                <c:pt idx="232">
                  <c:v>-18.287137491258321</c:v>
                </c:pt>
                <c:pt idx="233">
                  <c:v>-18.247106496577459</c:v>
                </c:pt>
                <c:pt idx="234">
                  <c:v>-18.206182269819848</c:v>
                </c:pt>
                <c:pt idx="235">
                  <c:v>-18.164366186958603</c:v>
                </c:pt>
                <c:pt idx="236">
                  <c:v>-18.121659620451425</c:v>
                </c:pt>
                <c:pt idx="237">
                  <c:v>-18.07806393928324</c:v>
                </c:pt>
                <c:pt idx="238">
                  <c:v>-18.033580508960867</c:v>
                </c:pt>
                <c:pt idx="239">
                  <c:v>-17.988210691539663</c:v>
                </c:pt>
                <c:pt idx="240">
                  <c:v>-17.941955845619972</c:v>
                </c:pt>
                <c:pt idx="241">
                  <c:v>-17.894817326361334</c:v>
                </c:pt>
                <c:pt idx="242">
                  <c:v>-17.846796485532224</c:v>
                </c:pt>
                <c:pt idx="243">
                  <c:v>-17.797894671465642</c:v>
                </c:pt>
                <c:pt idx="244">
                  <c:v>-17.748113229114182</c:v>
                </c:pt>
                <c:pt idx="245">
                  <c:v>-17.697453500044702</c:v>
                </c:pt>
                <c:pt idx="246">
                  <c:v>-17.645916822456087</c:v>
                </c:pt>
                <c:pt idx="247">
                  <c:v>-17.593504531197013</c:v>
                </c:pt>
                <c:pt idx="248">
                  <c:v>-17.540217957757065</c:v>
                </c:pt>
                <c:pt idx="249">
                  <c:v>-17.486058430314699</c:v>
                </c:pt>
                <c:pt idx="250">
                  <c:v>-17.431027273719479</c:v>
                </c:pt>
                <c:pt idx="251">
                  <c:v>-17.375125809515168</c:v>
                </c:pt>
                <c:pt idx="252">
                  <c:v>-17.318355355948611</c:v>
                </c:pt>
                <c:pt idx="253">
                  <c:v>-17.260717227992828</c:v>
                </c:pt>
                <c:pt idx="254">
                  <c:v>-17.202212737355893</c:v>
                </c:pt>
                <c:pt idx="255">
                  <c:v>-17.142843192473833</c:v>
                </c:pt>
                <c:pt idx="256">
                  <c:v>-17.082609898549705</c:v>
                </c:pt>
                <c:pt idx="257">
                  <c:v>-17.021514157550044</c:v>
                </c:pt>
                <c:pt idx="258">
                  <c:v>-16.959557268224401</c:v>
                </c:pt>
                <c:pt idx="259">
                  <c:v>-16.896740526103571</c:v>
                </c:pt>
                <c:pt idx="260">
                  <c:v>-16.833065223529786</c:v>
                </c:pt>
                <c:pt idx="261">
                  <c:v>-16.768532649663825</c:v>
                </c:pt>
                <c:pt idx="262">
                  <c:v>-16.703144090481459</c:v>
                </c:pt>
                <c:pt idx="263">
                  <c:v>-16.6369008288072</c:v>
                </c:pt>
                <c:pt idx="264">
                  <c:v>-16.569804144308975</c:v>
                </c:pt>
                <c:pt idx="265">
                  <c:v>-16.501855313524771</c:v>
                </c:pt>
                <c:pt idx="266">
                  <c:v>-16.4330556098502</c:v>
                </c:pt>
                <c:pt idx="267">
                  <c:v>-16.363406303591788</c:v>
                </c:pt>
                <c:pt idx="268">
                  <c:v>-16.292908661919014</c:v>
                </c:pt>
                <c:pt idx="269">
                  <c:v>-16.221563948933593</c:v>
                </c:pt>
                <c:pt idx="270">
                  <c:v>-16.149373425646374</c:v>
                </c:pt>
                <c:pt idx="271">
                  <c:v>-16.07633835000577</c:v>
                </c:pt>
                <c:pt idx="272">
                  <c:v>-16.002459976885319</c:v>
                </c:pt>
                <c:pt idx="273">
                  <c:v>-15.927739558128096</c:v>
                </c:pt>
                <c:pt idx="274">
                  <c:v>-15.852178342527168</c:v>
                </c:pt>
                <c:pt idx="275">
                  <c:v>-15.775777575862904</c:v>
                </c:pt>
                <c:pt idx="276">
                  <c:v>-15.698538500894088</c:v>
                </c:pt>
                <c:pt idx="277">
                  <c:v>-15.620462357372134</c:v>
                </c:pt>
                <c:pt idx="278">
                  <c:v>-15.541550382071279</c:v>
                </c:pt>
                <c:pt idx="279">
                  <c:v>-15.461803808754837</c:v>
                </c:pt>
                <c:pt idx="280">
                  <c:v>-15.381223868242699</c:v>
                </c:pt>
                <c:pt idx="281">
                  <c:v>-15.299811788386464</c:v>
                </c:pt>
                <c:pt idx="282">
                  <c:v>-15.21756879408187</c:v>
                </c:pt>
                <c:pt idx="283">
                  <c:v>-15.134496107293671</c:v>
                </c:pt>
                <c:pt idx="284">
                  <c:v>-15.050594947046747</c:v>
                </c:pt>
                <c:pt idx="285">
                  <c:v>-14.965866529458083</c:v>
                </c:pt>
                <c:pt idx="286">
                  <c:v>-14.880312067733215</c:v>
                </c:pt>
                <c:pt idx="287">
                  <c:v>-14.793932772183993</c:v>
                </c:pt>
                <c:pt idx="288">
                  <c:v>-14.70672985023036</c:v>
                </c:pt>
                <c:pt idx="289">
                  <c:v>-14.618704506419888</c:v>
                </c:pt>
                <c:pt idx="290">
                  <c:v>-14.529857942431335</c:v>
                </c:pt>
                <c:pt idx="291">
                  <c:v>-14.440191357085297</c:v>
                </c:pt>
                <c:pt idx="292">
                  <c:v>-14.349705946363756</c:v>
                </c:pt>
                <c:pt idx="293">
                  <c:v>-14.258402903410072</c:v>
                </c:pt>
                <c:pt idx="294">
                  <c:v>-14.166283418528991</c:v>
                </c:pt>
                <c:pt idx="295">
                  <c:v>-14.073348679234599</c:v>
                </c:pt>
                <c:pt idx="296">
                  <c:v>-13.979599870209469</c:v>
                </c:pt>
                <c:pt idx="297">
                  <c:v>-13.885038173366837</c:v>
                </c:pt>
                <c:pt idx="298">
                  <c:v>-13.789664767807963</c:v>
                </c:pt>
                <c:pt idx="299">
                  <c:v>-13.693480829877203</c:v>
                </c:pt>
                <c:pt idx="300">
                  <c:v>-13.596487533142465</c:v>
                </c:pt>
                <c:pt idx="301">
                  <c:v>-13.498686048420083</c:v>
                </c:pt>
                <c:pt idx="302">
                  <c:v>-13.40007754377659</c:v>
                </c:pt>
                <c:pt idx="303">
                  <c:v>-13.300663184544703</c:v>
                </c:pt>
                <c:pt idx="304">
                  <c:v>-13.20044413332333</c:v>
                </c:pt>
                <c:pt idx="305">
                  <c:v>-13.099421550004209</c:v>
                </c:pt>
                <c:pt idx="306">
                  <c:v>-12.997596591757699</c:v>
                </c:pt>
                <c:pt idx="307">
                  <c:v>-12.894970413068307</c:v>
                </c:pt>
                <c:pt idx="308">
                  <c:v>-12.791544165716928</c:v>
                </c:pt>
                <c:pt idx="309">
                  <c:v>-12.687318998816366</c:v>
                </c:pt>
                <c:pt idx="310">
                  <c:v>-12.582296058806008</c:v>
                </c:pt>
                <c:pt idx="311">
                  <c:v>-12.476476489458932</c:v>
                </c:pt>
                <c:pt idx="312">
                  <c:v>-12.369861431897888</c:v>
                </c:pt>
                <c:pt idx="313">
                  <c:v>-12.262452024609516</c:v>
                </c:pt>
                <c:pt idx="314">
                  <c:v>-12.154249403435458</c:v>
                </c:pt>
                <c:pt idx="315">
                  <c:v>-12.045254701602559</c:v>
                </c:pt>
                <c:pt idx="316">
                  <c:v>-11.935469049710434</c:v>
                </c:pt>
                <c:pt idx="317">
                  <c:v>-11.824893575766993</c:v>
                </c:pt>
                <c:pt idx="318">
                  <c:v>-11.713529405168899</c:v>
                </c:pt>
                <c:pt idx="319">
                  <c:v>-11.601377660729995</c:v>
                </c:pt>
                <c:pt idx="320">
                  <c:v>-11.488439462693734</c:v>
                </c:pt>
                <c:pt idx="321">
                  <c:v>-11.374715928713641</c:v>
                </c:pt>
                <c:pt idx="322">
                  <c:v>-11.260208173897723</c:v>
                </c:pt>
                <c:pt idx="323">
                  <c:v>-11.14491731078715</c:v>
                </c:pt>
                <c:pt idx="324">
                  <c:v>-11.028844449390007</c:v>
                </c:pt>
                <c:pt idx="325">
                  <c:v>-10.911990697179519</c:v>
                </c:pt>
                <c:pt idx="326">
                  <c:v>-10.794357159085166</c:v>
                </c:pt>
                <c:pt idx="327">
                  <c:v>-10.675944937542425</c:v>
                </c:pt>
                <c:pt idx="328">
                  <c:v>-10.556755132455464</c:v>
                </c:pt>
                <c:pt idx="329">
                  <c:v>-10.436788841245104</c:v>
                </c:pt>
                <c:pt idx="330">
                  <c:v>-10.316047158813291</c:v>
                </c:pt>
                <c:pt idx="331">
                  <c:v>-10.194531177615929</c:v>
                </c:pt>
                <c:pt idx="332">
                  <c:v>-10.072241987597153</c:v>
                </c:pt>
                <c:pt idx="333">
                  <c:v>-9.9491806762568302</c:v>
                </c:pt>
                <c:pt idx="334">
                  <c:v>-9.8253483286274701</c:v>
                </c:pt>
                <c:pt idx="335">
                  <c:v>-9.7007460272884316</c:v>
                </c:pt>
                <c:pt idx="336">
                  <c:v>-9.5753748523801363</c:v>
                </c:pt>
                <c:pt idx="337">
                  <c:v>-9.4492358816058442</c:v>
                </c:pt>
                <c:pt idx="338">
                  <c:v>-9.3223301902494171</c:v>
                </c:pt>
                <c:pt idx="339">
                  <c:v>-9.1946588511753191</c:v>
                </c:pt>
                <c:pt idx="340">
                  <c:v>-9.0662229348339451</c:v>
                </c:pt>
                <c:pt idx="341">
                  <c:v>-8.9370235092687267</c:v>
                </c:pt>
                <c:pt idx="342">
                  <c:v>-8.8070616401498825</c:v>
                </c:pt>
                <c:pt idx="343">
                  <c:v>-8.6763383907424441</c:v>
                </c:pt>
                <c:pt idx="344">
                  <c:v>-8.5448548219435594</c:v>
                </c:pt>
                <c:pt idx="345">
                  <c:v>-8.4126119922771636</c:v>
                </c:pt>
                <c:pt idx="346">
                  <c:v>-8.2796109579117427</c:v>
                </c:pt>
                <c:pt idx="347">
                  <c:v>-8.1458527726550045</c:v>
                </c:pt>
                <c:pt idx="348">
                  <c:v>-8.011338487966313</c:v>
                </c:pt>
                <c:pt idx="349">
                  <c:v>-7.8760691529904392</c:v>
                </c:pt>
                <c:pt idx="350">
                  <c:v>-7.7400458145060469</c:v>
                </c:pt>
                <c:pt idx="351">
                  <c:v>-7.6032695169931941</c:v>
                </c:pt>
                <c:pt idx="352">
                  <c:v>-7.4657413026120167</c:v>
                </c:pt>
                <c:pt idx="353">
                  <c:v>-7.3274622112240451</c:v>
                </c:pt>
                <c:pt idx="354">
                  <c:v>-7.18843328037444</c:v>
                </c:pt>
                <c:pt idx="355">
                  <c:v>-7.048655545316862</c:v>
                </c:pt>
                <c:pt idx="356">
                  <c:v>-6.9081300390507749</c:v>
                </c:pt>
                <c:pt idx="357">
                  <c:v>-6.7668577922646023</c:v>
                </c:pt>
                <c:pt idx="358">
                  <c:v>-6.6248398333925707</c:v>
                </c:pt>
                <c:pt idx="359">
                  <c:v>-6.4820771886111572</c:v>
                </c:pt>
                <c:pt idx="360">
                  <c:v>-6.3385708818284314</c:v>
                </c:pt>
                <c:pt idx="361">
                  <c:v>-6.1943219347178058</c:v>
                </c:pt>
                <c:pt idx="362">
                  <c:v>-6.0493313667127069</c:v>
                </c:pt>
                <c:pt idx="363">
                  <c:v>-5.9036001950136807</c:v>
                </c:pt>
                <c:pt idx="364">
                  <c:v>-5.7571294345972746</c:v>
                </c:pt>
                <c:pt idx="365">
                  <c:v>-5.6099200982089314</c:v>
                </c:pt>
                <c:pt idx="366">
                  <c:v>-5.4619731964056228</c:v>
                </c:pt>
                <c:pt idx="367">
                  <c:v>-5.3132897375309796</c:v>
                </c:pt>
                <c:pt idx="368">
                  <c:v>-5.1638707277348317</c:v>
                </c:pt>
                <c:pt idx="369">
                  <c:v>-5.0137171709767614</c:v>
                </c:pt>
                <c:pt idx="370">
                  <c:v>-4.8628300690296555</c:v>
                </c:pt>
                <c:pt idx="371">
                  <c:v>-4.7112104215099038</c:v>
                </c:pt>
                <c:pt idx="372">
                  <c:v>-4.5588592258454241</c:v>
                </c:pt>
                <c:pt idx="373">
                  <c:v>-4.4057774773147429</c:v>
                </c:pt>
                <c:pt idx="374">
                  <c:v>-4.2519661690452182</c:v>
                </c:pt>
                <c:pt idx="375">
                  <c:v>-4.0974262920183691</c:v>
                </c:pt>
                <c:pt idx="376">
                  <c:v>-3.9421588350680992</c:v>
                </c:pt>
                <c:pt idx="377">
                  <c:v>-3.786164784902013</c:v>
                </c:pt>
                <c:pt idx="378">
                  <c:v>-3.6294451260996397</c:v>
                </c:pt>
                <c:pt idx="379">
                  <c:v>-3.4720008411337488</c:v>
                </c:pt>
                <c:pt idx="380">
                  <c:v>-3.3138329103419295</c:v>
                </c:pt>
                <c:pt idx="381">
                  <c:v>-3.1549423119869857</c:v>
                </c:pt>
                <c:pt idx="382">
                  <c:v>-2.9953300222000934</c:v>
                </c:pt>
                <c:pt idx="383">
                  <c:v>-2.8349970150465253</c:v>
                </c:pt>
                <c:pt idx="384">
                  <c:v>-2.6739442624972298</c:v>
                </c:pt>
                <c:pt idx="385">
                  <c:v>-2.5121727344554756</c:v>
                </c:pt>
                <c:pt idx="386">
                  <c:v>-2.3496833987337595</c:v>
                </c:pt>
                <c:pt idx="387">
                  <c:v>-2.1864772210893335</c:v>
                </c:pt>
                <c:pt idx="388">
                  <c:v>-2.022555165225981</c:v>
                </c:pt>
                <c:pt idx="389">
                  <c:v>-1.8579181927975696</c:v>
                </c:pt>
                <c:pt idx="390">
                  <c:v>-1.6925672634027222</c:v>
                </c:pt>
                <c:pt idx="391">
                  <c:v>-1.5265033346043566</c:v>
                </c:pt>
                <c:pt idx="392">
                  <c:v>-1.3597273619456729</c:v>
                </c:pt>
                <c:pt idx="393">
                  <c:v>-1.1922402989252845</c:v>
                </c:pt>
                <c:pt idx="394">
                  <c:v>-1.0240430970309689</c:v>
                </c:pt>
                <c:pt idx="395">
                  <c:v>-0.85513670575032563</c:v>
                </c:pt>
                <c:pt idx="396">
                  <c:v>-0.68552207253880226</c:v>
                </c:pt>
                <c:pt idx="397">
                  <c:v>-0.51520014287653737</c:v>
                </c:pt>
                <c:pt idx="398">
                  <c:v>-0.34417186024171542</c:v>
                </c:pt>
                <c:pt idx="399">
                  <c:v>-0.17243816611411944</c:v>
                </c:pt>
                <c:pt idx="400">
                  <c:v>-5.3290705182007514E-12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95-4E02-805F-2557AB9EC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423000"/>
        <c:axId val="758420376"/>
      </c:scatterChart>
      <c:valAx>
        <c:axId val="758423000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Mirror length (mm)</a:t>
                </a:r>
              </a:p>
            </c:rich>
          </c:tx>
          <c:layout>
            <c:manualLayout>
              <c:xMode val="edge"/>
              <c:yMode val="edge"/>
              <c:x val="0.31940097331583556"/>
              <c:y val="0.921615742614325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58420376"/>
        <c:crosses val="autoZero"/>
        <c:crossBetween val="midCat"/>
      </c:valAx>
      <c:valAx>
        <c:axId val="7584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Height</a:t>
                </a:r>
                <a:r>
                  <a:rPr lang="en-US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(um)</a:t>
                </a:r>
                <a:endParaRPr lang="en-US" sz="12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58423000"/>
        <c:crosses val="autoZero"/>
        <c:crossBetween val="midCat"/>
      </c:valAx>
      <c:spPr>
        <a:effectLst/>
      </c:spPr>
    </c:plotArea>
    <c:plotVisOnly val="1"/>
    <c:dispBlanksAs val="gap"/>
    <c:showDLblsOverMax val="0"/>
    <c:extLst/>
  </c:chart>
  <c:spPr>
    <a:ln w="12700">
      <a:solidFill>
        <a:schemeClr val="tx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70C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>
                <a:solidFill>
                  <a:srgbClr val="0070C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Local radius of curvature</a:t>
            </a:r>
          </a:p>
        </c:rich>
      </c:tx>
      <c:layout>
        <c:manualLayout>
          <c:xMode val="edge"/>
          <c:yMode val="edge"/>
          <c:x val="0.21117836832895889"/>
          <c:y val="3.775329536913914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0017224409448825E-2"/>
          <c:y val="0.14858869892243678"/>
          <c:w val="0.87442722003499562"/>
          <c:h val="0.7087818696883853"/>
        </c:manualLayout>
      </c:layout>
      <c:scatterChart>
        <c:scatterStyle val="smoothMarker"/>
        <c:varyColors val="0"/>
        <c:ser>
          <c:idx val="1"/>
          <c:order val="0"/>
          <c:tx>
            <c:v>Bender fit</c:v>
          </c:tx>
          <c:marker>
            <c:symbol val="none"/>
          </c:marker>
          <c:xVal>
            <c:numRef>
              <c:f>CALCULATIONS!$N$30:$N$428</c:f>
              <c:numCache>
                <c:formatCode>General</c:formatCode>
                <c:ptCount val="399"/>
                <c:pt idx="0">
                  <c:v>-138</c:v>
                </c:pt>
                <c:pt idx="1">
                  <c:v>-137.31</c:v>
                </c:pt>
                <c:pt idx="2">
                  <c:v>-136.62</c:v>
                </c:pt>
                <c:pt idx="3">
                  <c:v>-135.93</c:v>
                </c:pt>
                <c:pt idx="4">
                  <c:v>-135.24</c:v>
                </c:pt>
                <c:pt idx="5">
                  <c:v>-134.55000000000001</c:v>
                </c:pt>
                <c:pt idx="6">
                  <c:v>-133.86000000000001</c:v>
                </c:pt>
                <c:pt idx="7">
                  <c:v>-133.17000000000002</c:v>
                </c:pt>
                <c:pt idx="8">
                  <c:v>-132.48000000000002</c:v>
                </c:pt>
                <c:pt idx="9">
                  <c:v>-131.79000000000002</c:v>
                </c:pt>
                <c:pt idx="10">
                  <c:v>-131.10000000000002</c:v>
                </c:pt>
                <c:pt idx="11">
                  <c:v>-130.41000000000003</c:v>
                </c:pt>
                <c:pt idx="12">
                  <c:v>-129.72000000000003</c:v>
                </c:pt>
                <c:pt idx="13">
                  <c:v>-129.03000000000003</c:v>
                </c:pt>
                <c:pt idx="14">
                  <c:v>-128.34000000000003</c:v>
                </c:pt>
                <c:pt idx="15">
                  <c:v>-127.65000000000003</c:v>
                </c:pt>
                <c:pt idx="16">
                  <c:v>-126.96000000000004</c:v>
                </c:pt>
                <c:pt idx="17">
                  <c:v>-126.27000000000004</c:v>
                </c:pt>
                <c:pt idx="18">
                  <c:v>-125.58000000000004</c:v>
                </c:pt>
                <c:pt idx="19">
                  <c:v>-124.89000000000004</c:v>
                </c:pt>
                <c:pt idx="20">
                  <c:v>-124.20000000000005</c:v>
                </c:pt>
                <c:pt idx="21">
                  <c:v>-123.51000000000005</c:v>
                </c:pt>
                <c:pt idx="22">
                  <c:v>-122.82000000000005</c:v>
                </c:pt>
                <c:pt idx="23">
                  <c:v>-122.13000000000005</c:v>
                </c:pt>
                <c:pt idx="24">
                  <c:v>-121.44000000000005</c:v>
                </c:pt>
                <c:pt idx="25">
                  <c:v>-120.75000000000006</c:v>
                </c:pt>
                <c:pt idx="26">
                  <c:v>-120.06000000000006</c:v>
                </c:pt>
                <c:pt idx="27">
                  <c:v>-119.37000000000006</c:v>
                </c:pt>
                <c:pt idx="28">
                  <c:v>-118.68000000000006</c:v>
                </c:pt>
                <c:pt idx="29">
                  <c:v>-117.99000000000007</c:v>
                </c:pt>
                <c:pt idx="30">
                  <c:v>-117.30000000000007</c:v>
                </c:pt>
                <c:pt idx="31">
                  <c:v>-116.61000000000007</c:v>
                </c:pt>
                <c:pt idx="32">
                  <c:v>-115.92000000000007</c:v>
                </c:pt>
                <c:pt idx="33">
                  <c:v>-115.23000000000008</c:v>
                </c:pt>
                <c:pt idx="34">
                  <c:v>-114.54000000000008</c:v>
                </c:pt>
                <c:pt idx="35">
                  <c:v>-113.85000000000008</c:v>
                </c:pt>
                <c:pt idx="36">
                  <c:v>-113.16000000000008</c:v>
                </c:pt>
                <c:pt idx="37">
                  <c:v>-112.47000000000008</c:v>
                </c:pt>
                <c:pt idx="38">
                  <c:v>-111.78000000000009</c:v>
                </c:pt>
                <c:pt idx="39">
                  <c:v>-111.09000000000009</c:v>
                </c:pt>
                <c:pt idx="40">
                  <c:v>-110.40000000000009</c:v>
                </c:pt>
                <c:pt idx="41">
                  <c:v>-109.71000000000009</c:v>
                </c:pt>
                <c:pt idx="42">
                  <c:v>-109.0200000000001</c:v>
                </c:pt>
                <c:pt idx="43">
                  <c:v>-108.3300000000001</c:v>
                </c:pt>
                <c:pt idx="44">
                  <c:v>-107.6400000000001</c:v>
                </c:pt>
                <c:pt idx="45">
                  <c:v>-106.9500000000001</c:v>
                </c:pt>
                <c:pt idx="46">
                  <c:v>-106.2600000000001</c:v>
                </c:pt>
                <c:pt idx="47">
                  <c:v>-105.57000000000011</c:v>
                </c:pt>
                <c:pt idx="48">
                  <c:v>-104.88000000000011</c:v>
                </c:pt>
                <c:pt idx="49">
                  <c:v>-104.19000000000011</c:v>
                </c:pt>
                <c:pt idx="50">
                  <c:v>-103.50000000000011</c:v>
                </c:pt>
                <c:pt idx="51">
                  <c:v>-102.81000000000012</c:v>
                </c:pt>
                <c:pt idx="52">
                  <c:v>-102.12000000000012</c:v>
                </c:pt>
                <c:pt idx="53">
                  <c:v>-101.43000000000012</c:v>
                </c:pt>
                <c:pt idx="54">
                  <c:v>-100.74000000000012</c:v>
                </c:pt>
                <c:pt idx="55">
                  <c:v>-100.05000000000013</c:v>
                </c:pt>
                <c:pt idx="56">
                  <c:v>-99.360000000000127</c:v>
                </c:pt>
                <c:pt idx="57">
                  <c:v>-98.67000000000013</c:v>
                </c:pt>
                <c:pt idx="58">
                  <c:v>-97.980000000000132</c:v>
                </c:pt>
                <c:pt idx="59">
                  <c:v>-97.290000000000134</c:v>
                </c:pt>
                <c:pt idx="60">
                  <c:v>-96.600000000000136</c:v>
                </c:pt>
                <c:pt idx="61">
                  <c:v>-95.910000000000139</c:v>
                </c:pt>
                <c:pt idx="62">
                  <c:v>-95.220000000000141</c:v>
                </c:pt>
                <c:pt idx="63">
                  <c:v>-94.530000000000143</c:v>
                </c:pt>
                <c:pt idx="64">
                  <c:v>-93.840000000000146</c:v>
                </c:pt>
                <c:pt idx="65">
                  <c:v>-93.150000000000148</c:v>
                </c:pt>
                <c:pt idx="66">
                  <c:v>-92.46000000000015</c:v>
                </c:pt>
                <c:pt idx="67">
                  <c:v>-91.770000000000152</c:v>
                </c:pt>
                <c:pt idx="68">
                  <c:v>-91.080000000000155</c:v>
                </c:pt>
                <c:pt idx="69">
                  <c:v>-90.390000000000157</c:v>
                </c:pt>
                <c:pt idx="70">
                  <c:v>-89.700000000000159</c:v>
                </c:pt>
                <c:pt idx="71">
                  <c:v>-89.010000000000161</c:v>
                </c:pt>
                <c:pt idx="72">
                  <c:v>-88.320000000000164</c:v>
                </c:pt>
                <c:pt idx="73">
                  <c:v>-87.630000000000166</c:v>
                </c:pt>
                <c:pt idx="74">
                  <c:v>-86.940000000000168</c:v>
                </c:pt>
                <c:pt idx="75">
                  <c:v>-86.250000000000171</c:v>
                </c:pt>
                <c:pt idx="76">
                  <c:v>-85.560000000000173</c:v>
                </c:pt>
                <c:pt idx="77">
                  <c:v>-84.870000000000175</c:v>
                </c:pt>
                <c:pt idx="78">
                  <c:v>-84.180000000000177</c:v>
                </c:pt>
                <c:pt idx="79">
                  <c:v>-83.49000000000018</c:v>
                </c:pt>
                <c:pt idx="80">
                  <c:v>-82.800000000000182</c:v>
                </c:pt>
                <c:pt idx="81">
                  <c:v>-82.110000000000184</c:v>
                </c:pt>
                <c:pt idx="82">
                  <c:v>-81.420000000000186</c:v>
                </c:pt>
                <c:pt idx="83">
                  <c:v>-80.730000000000189</c:v>
                </c:pt>
                <c:pt idx="84">
                  <c:v>-80.040000000000191</c:v>
                </c:pt>
                <c:pt idx="85">
                  <c:v>-79.350000000000193</c:v>
                </c:pt>
                <c:pt idx="86">
                  <c:v>-78.660000000000196</c:v>
                </c:pt>
                <c:pt idx="87">
                  <c:v>-77.970000000000198</c:v>
                </c:pt>
                <c:pt idx="88">
                  <c:v>-77.2800000000002</c:v>
                </c:pt>
                <c:pt idx="89">
                  <c:v>-76.590000000000202</c:v>
                </c:pt>
                <c:pt idx="90">
                  <c:v>-75.900000000000205</c:v>
                </c:pt>
                <c:pt idx="91">
                  <c:v>-75.210000000000207</c:v>
                </c:pt>
                <c:pt idx="92">
                  <c:v>-74.520000000000209</c:v>
                </c:pt>
                <c:pt idx="93">
                  <c:v>-73.830000000000211</c:v>
                </c:pt>
                <c:pt idx="94">
                  <c:v>-73.140000000000214</c:v>
                </c:pt>
                <c:pt idx="95">
                  <c:v>-72.450000000000216</c:v>
                </c:pt>
                <c:pt idx="96">
                  <c:v>-71.760000000000218</c:v>
                </c:pt>
                <c:pt idx="97">
                  <c:v>-71.070000000000221</c:v>
                </c:pt>
                <c:pt idx="98">
                  <c:v>-70.380000000000223</c:v>
                </c:pt>
                <c:pt idx="99">
                  <c:v>-69.690000000000225</c:v>
                </c:pt>
                <c:pt idx="100">
                  <c:v>-69.000000000000227</c:v>
                </c:pt>
                <c:pt idx="101">
                  <c:v>-68.31000000000023</c:v>
                </c:pt>
                <c:pt idx="102">
                  <c:v>-67.620000000000232</c:v>
                </c:pt>
                <c:pt idx="103">
                  <c:v>-66.930000000000234</c:v>
                </c:pt>
                <c:pt idx="104">
                  <c:v>-66.240000000000236</c:v>
                </c:pt>
                <c:pt idx="105">
                  <c:v>-65.550000000000239</c:v>
                </c:pt>
                <c:pt idx="106">
                  <c:v>-64.860000000000241</c:v>
                </c:pt>
                <c:pt idx="107">
                  <c:v>-64.170000000000243</c:v>
                </c:pt>
                <c:pt idx="108">
                  <c:v>-63.480000000000246</c:v>
                </c:pt>
                <c:pt idx="109">
                  <c:v>-62.790000000000248</c:v>
                </c:pt>
                <c:pt idx="110">
                  <c:v>-62.10000000000025</c:v>
                </c:pt>
                <c:pt idx="111">
                  <c:v>-61.410000000000252</c:v>
                </c:pt>
                <c:pt idx="112">
                  <c:v>-60.720000000000255</c:v>
                </c:pt>
                <c:pt idx="113">
                  <c:v>-60.030000000000257</c:v>
                </c:pt>
                <c:pt idx="114">
                  <c:v>-59.340000000000259</c:v>
                </c:pt>
                <c:pt idx="115">
                  <c:v>-58.650000000000261</c:v>
                </c:pt>
                <c:pt idx="116">
                  <c:v>-57.960000000000264</c:v>
                </c:pt>
                <c:pt idx="117">
                  <c:v>-57.270000000000266</c:v>
                </c:pt>
                <c:pt idx="118">
                  <c:v>-56.580000000000268</c:v>
                </c:pt>
                <c:pt idx="119">
                  <c:v>-55.890000000000271</c:v>
                </c:pt>
                <c:pt idx="120">
                  <c:v>-55.200000000000273</c:v>
                </c:pt>
                <c:pt idx="121">
                  <c:v>-54.510000000000275</c:v>
                </c:pt>
                <c:pt idx="122">
                  <c:v>-53.820000000000277</c:v>
                </c:pt>
                <c:pt idx="123">
                  <c:v>-53.13000000000028</c:v>
                </c:pt>
                <c:pt idx="124">
                  <c:v>-52.440000000000282</c:v>
                </c:pt>
                <c:pt idx="125">
                  <c:v>-51.750000000000284</c:v>
                </c:pt>
                <c:pt idx="126">
                  <c:v>-51.060000000000286</c:v>
                </c:pt>
                <c:pt idx="127">
                  <c:v>-50.370000000000289</c:v>
                </c:pt>
                <c:pt idx="128">
                  <c:v>-49.680000000000291</c:v>
                </c:pt>
                <c:pt idx="129">
                  <c:v>-48.990000000000293</c:v>
                </c:pt>
                <c:pt idx="130">
                  <c:v>-48.300000000000296</c:v>
                </c:pt>
                <c:pt idx="131">
                  <c:v>-47.610000000000298</c:v>
                </c:pt>
                <c:pt idx="132">
                  <c:v>-46.9200000000003</c:v>
                </c:pt>
                <c:pt idx="133">
                  <c:v>-46.230000000000302</c:v>
                </c:pt>
                <c:pt idx="134">
                  <c:v>-45.540000000000305</c:v>
                </c:pt>
                <c:pt idx="135">
                  <c:v>-44.850000000000307</c:v>
                </c:pt>
                <c:pt idx="136">
                  <c:v>-44.160000000000309</c:v>
                </c:pt>
                <c:pt idx="137">
                  <c:v>-43.470000000000312</c:v>
                </c:pt>
                <c:pt idx="138">
                  <c:v>-42.780000000000314</c:v>
                </c:pt>
                <c:pt idx="139">
                  <c:v>-42.090000000000316</c:v>
                </c:pt>
                <c:pt idx="140">
                  <c:v>-41.400000000000318</c:v>
                </c:pt>
                <c:pt idx="141">
                  <c:v>-40.710000000000321</c:v>
                </c:pt>
                <c:pt idx="142">
                  <c:v>-40.020000000000323</c:v>
                </c:pt>
                <c:pt idx="143">
                  <c:v>-39.330000000000325</c:v>
                </c:pt>
                <c:pt idx="144">
                  <c:v>-38.640000000000327</c:v>
                </c:pt>
                <c:pt idx="145">
                  <c:v>-37.95000000000033</c:v>
                </c:pt>
                <c:pt idx="146">
                  <c:v>-37.260000000000332</c:v>
                </c:pt>
                <c:pt idx="147">
                  <c:v>-36.570000000000334</c:v>
                </c:pt>
                <c:pt idx="148">
                  <c:v>-35.880000000000337</c:v>
                </c:pt>
                <c:pt idx="149">
                  <c:v>-35.190000000000339</c:v>
                </c:pt>
                <c:pt idx="150">
                  <c:v>-34.500000000000341</c:v>
                </c:pt>
                <c:pt idx="151">
                  <c:v>-33.810000000000343</c:v>
                </c:pt>
                <c:pt idx="152">
                  <c:v>-33.120000000000346</c:v>
                </c:pt>
                <c:pt idx="153">
                  <c:v>-32.430000000000348</c:v>
                </c:pt>
                <c:pt idx="154">
                  <c:v>-31.740000000000347</c:v>
                </c:pt>
                <c:pt idx="155">
                  <c:v>-31.050000000000345</c:v>
                </c:pt>
                <c:pt idx="156">
                  <c:v>-30.360000000000344</c:v>
                </c:pt>
                <c:pt idx="157">
                  <c:v>-29.670000000000343</c:v>
                </c:pt>
                <c:pt idx="158">
                  <c:v>-28.980000000000341</c:v>
                </c:pt>
                <c:pt idx="159">
                  <c:v>-28.29000000000034</c:v>
                </c:pt>
                <c:pt idx="160">
                  <c:v>-27.600000000000339</c:v>
                </c:pt>
                <c:pt idx="161">
                  <c:v>-26.910000000000338</c:v>
                </c:pt>
                <c:pt idx="162">
                  <c:v>-26.220000000000336</c:v>
                </c:pt>
                <c:pt idx="163">
                  <c:v>-25.530000000000335</c:v>
                </c:pt>
                <c:pt idx="164">
                  <c:v>-24.840000000000334</c:v>
                </c:pt>
                <c:pt idx="165">
                  <c:v>-24.150000000000333</c:v>
                </c:pt>
                <c:pt idx="166">
                  <c:v>-23.460000000000331</c:v>
                </c:pt>
                <c:pt idx="167">
                  <c:v>-22.77000000000033</c:v>
                </c:pt>
                <c:pt idx="168">
                  <c:v>-22.080000000000329</c:v>
                </c:pt>
                <c:pt idx="169">
                  <c:v>-21.390000000000327</c:v>
                </c:pt>
                <c:pt idx="170">
                  <c:v>-20.700000000000326</c:v>
                </c:pt>
                <c:pt idx="171">
                  <c:v>-20.010000000000325</c:v>
                </c:pt>
                <c:pt idx="172">
                  <c:v>-19.320000000000324</c:v>
                </c:pt>
                <c:pt idx="173">
                  <c:v>-18.630000000000322</c:v>
                </c:pt>
                <c:pt idx="174">
                  <c:v>-17.940000000000321</c:v>
                </c:pt>
                <c:pt idx="175">
                  <c:v>-17.25000000000032</c:v>
                </c:pt>
                <c:pt idx="176">
                  <c:v>-16.560000000000318</c:v>
                </c:pt>
                <c:pt idx="177">
                  <c:v>-15.870000000000319</c:v>
                </c:pt>
                <c:pt idx="178">
                  <c:v>-15.180000000000319</c:v>
                </c:pt>
                <c:pt idx="179">
                  <c:v>-14.49000000000032</c:v>
                </c:pt>
                <c:pt idx="180">
                  <c:v>-13.80000000000032</c:v>
                </c:pt>
                <c:pt idx="181">
                  <c:v>-13.110000000000321</c:v>
                </c:pt>
                <c:pt idx="182">
                  <c:v>-12.420000000000321</c:v>
                </c:pt>
                <c:pt idx="183">
                  <c:v>-11.730000000000322</c:v>
                </c:pt>
                <c:pt idx="184">
                  <c:v>-11.040000000000322</c:v>
                </c:pt>
                <c:pt idx="185">
                  <c:v>-10.350000000000323</c:v>
                </c:pt>
                <c:pt idx="186">
                  <c:v>-9.6600000000003234</c:v>
                </c:pt>
                <c:pt idx="187">
                  <c:v>-8.9700000000003239</c:v>
                </c:pt>
                <c:pt idx="188">
                  <c:v>-8.2800000000003244</c:v>
                </c:pt>
                <c:pt idx="189">
                  <c:v>-7.5900000000003249</c:v>
                </c:pt>
                <c:pt idx="190">
                  <c:v>-6.9000000000003254</c:v>
                </c:pt>
                <c:pt idx="191">
                  <c:v>-6.2100000000003259</c:v>
                </c:pt>
                <c:pt idx="192">
                  <c:v>-5.5200000000003264</c:v>
                </c:pt>
                <c:pt idx="193">
                  <c:v>-4.8300000000003269</c:v>
                </c:pt>
                <c:pt idx="194">
                  <c:v>-4.1400000000003274</c:v>
                </c:pt>
                <c:pt idx="195">
                  <c:v>-3.4500000000003275</c:v>
                </c:pt>
                <c:pt idx="196">
                  <c:v>-2.7600000000003275</c:v>
                </c:pt>
                <c:pt idx="197">
                  <c:v>-2.0700000000003276</c:v>
                </c:pt>
                <c:pt idx="198">
                  <c:v>-1.3800000000003276</c:v>
                </c:pt>
                <c:pt idx="199">
                  <c:v>-0.69000000000032768</c:v>
                </c:pt>
                <c:pt idx="200">
                  <c:v>-3.2773783686934621E-13</c:v>
                </c:pt>
                <c:pt idx="201">
                  <c:v>0.68999999999967221</c:v>
                </c:pt>
                <c:pt idx="202">
                  <c:v>1.3799999999996722</c:v>
                </c:pt>
                <c:pt idx="203">
                  <c:v>2.0699999999996721</c:v>
                </c:pt>
                <c:pt idx="204">
                  <c:v>2.759999999999672</c:v>
                </c:pt>
                <c:pt idx="205">
                  <c:v>3.449999999999672</c:v>
                </c:pt>
                <c:pt idx="206">
                  <c:v>4.1399999999996719</c:v>
                </c:pt>
                <c:pt idx="207">
                  <c:v>4.8299999999996714</c:v>
                </c:pt>
                <c:pt idx="208">
                  <c:v>5.5199999999996709</c:v>
                </c:pt>
                <c:pt idx="209">
                  <c:v>6.2099999999996705</c:v>
                </c:pt>
                <c:pt idx="210">
                  <c:v>6.89999999999967</c:v>
                </c:pt>
                <c:pt idx="211">
                  <c:v>7.5899999999996695</c:v>
                </c:pt>
                <c:pt idx="212">
                  <c:v>8.279999999999669</c:v>
                </c:pt>
                <c:pt idx="213">
                  <c:v>8.9699999999996685</c:v>
                </c:pt>
                <c:pt idx="214">
                  <c:v>9.659999999999668</c:v>
                </c:pt>
                <c:pt idx="215">
                  <c:v>10.349999999999667</c:v>
                </c:pt>
                <c:pt idx="216">
                  <c:v>11.039999999999667</c:v>
                </c:pt>
                <c:pt idx="217">
                  <c:v>11.729999999999666</c:v>
                </c:pt>
                <c:pt idx="218">
                  <c:v>12.419999999999666</c:v>
                </c:pt>
                <c:pt idx="219">
                  <c:v>13.109999999999665</c:v>
                </c:pt>
                <c:pt idx="220">
                  <c:v>13.799999999999665</c:v>
                </c:pt>
                <c:pt idx="221">
                  <c:v>14.489999999999664</c:v>
                </c:pt>
                <c:pt idx="222">
                  <c:v>15.179999999999664</c:v>
                </c:pt>
                <c:pt idx="223">
                  <c:v>15.869999999999663</c:v>
                </c:pt>
                <c:pt idx="224">
                  <c:v>16.559999999999665</c:v>
                </c:pt>
                <c:pt idx="225">
                  <c:v>17.249999999999666</c:v>
                </c:pt>
                <c:pt idx="226">
                  <c:v>17.939999999999667</c:v>
                </c:pt>
                <c:pt idx="227">
                  <c:v>18.629999999999669</c:v>
                </c:pt>
                <c:pt idx="228">
                  <c:v>19.31999999999967</c:v>
                </c:pt>
                <c:pt idx="229">
                  <c:v>20.009999999999671</c:v>
                </c:pt>
                <c:pt idx="230">
                  <c:v>20.699999999999672</c:v>
                </c:pt>
                <c:pt idx="231">
                  <c:v>21.389999999999674</c:v>
                </c:pt>
                <c:pt idx="232">
                  <c:v>22.079999999999675</c:v>
                </c:pt>
                <c:pt idx="233">
                  <c:v>22.769999999999676</c:v>
                </c:pt>
                <c:pt idx="234">
                  <c:v>23.459999999999678</c:v>
                </c:pt>
                <c:pt idx="235">
                  <c:v>24.149999999999679</c:v>
                </c:pt>
                <c:pt idx="236">
                  <c:v>24.83999999999968</c:v>
                </c:pt>
                <c:pt idx="237">
                  <c:v>25.529999999999681</c:v>
                </c:pt>
                <c:pt idx="238">
                  <c:v>26.219999999999683</c:v>
                </c:pt>
                <c:pt idx="239">
                  <c:v>26.909999999999684</c:v>
                </c:pt>
                <c:pt idx="240">
                  <c:v>27.599999999999685</c:v>
                </c:pt>
                <c:pt idx="241">
                  <c:v>28.289999999999687</c:v>
                </c:pt>
                <c:pt idx="242">
                  <c:v>28.979999999999688</c:v>
                </c:pt>
                <c:pt idx="243">
                  <c:v>29.669999999999689</c:v>
                </c:pt>
                <c:pt idx="244">
                  <c:v>30.35999999999969</c:v>
                </c:pt>
                <c:pt idx="245">
                  <c:v>31.049999999999692</c:v>
                </c:pt>
                <c:pt idx="246">
                  <c:v>31.739999999999693</c:v>
                </c:pt>
                <c:pt idx="247">
                  <c:v>32.429999999999694</c:v>
                </c:pt>
                <c:pt idx="248">
                  <c:v>33.119999999999692</c:v>
                </c:pt>
                <c:pt idx="249">
                  <c:v>33.80999999999969</c:v>
                </c:pt>
                <c:pt idx="250">
                  <c:v>34.499999999999687</c:v>
                </c:pt>
                <c:pt idx="251">
                  <c:v>35.189999999999685</c:v>
                </c:pt>
                <c:pt idx="252">
                  <c:v>35.879999999999683</c:v>
                </c:pt>
                <c:pt idx="253">
                  <c:v>36.569999999999681</c:v>
                </c:pt>
                <c:pt idx="254">
                  <c:v>37.259999999999678</c:v>
                </c:pt>
                <c:pt idx="255">
                  <c:v>37.949999999999676</c:v>
                </c:pt>
                <c:pt idx="256">
                  <c:v>38.639999999999674</c:v>
                </c:pt>
                <c:pt idx="257">
                  <c:v>39.329999999999671</c:v>
                </c:pt>
                <c:pt idx="258">
                  <c:v>40.019999999999669</c:v>
                </c:pt>
                <c:pt idx="259">
                  <c:v>40.709999999999667</c:v>
                </c:pt>
                <c:pt idx="260">
                  <c:v>41.399999999999665</c:v>
                </c:pt>
                <c:pt idx="261">
                  <c:v>42.089999999999662</c:v>
                </c:pt>
                <c:pt idx="262">
                  <c:v>42.77999999999966</c:v>
                </c:pt>
                <c:pt idx="263">
                  <c:v>43.469999999999658</c:v>
                </c:pt>
                <c:pt idx="264">
                  <c:v>44.159999999999656</c:v>
                </c:pt>
                <c:pt idx="265">
                  <c:v>44.849999999999653</c:v>
                </c:pt>
                <c:pt idx="266">
                  <c:v>45.539999999999651</c:v>
                </c:pt>
                <c:pt idx="267">
                  <c:v>46.229999999999649</c:v>
                </c:pt>
                <c:pt idx="268">
                  <c:v>46.919999999999646</c:v>
                </c:pt>
                <c:pt idx="269">
                  <c:v>47.609999999999644</c:v>
                </c:pt>
                <c:pt idx="270">
                  <c:v>48.299999999999642</c:v>
                </c:pt>
                <c:pt idx="271">
                  <c:v>48.98999999999964</c:v>
                </c:pt>
                <c:pt idx="272">
                  <c:v>49.679999999999637</c:v>
                </c:pt>
                <c:pt idx="273">
                  <c:v>50.369999999999635</c:v>
                </c:pt>
                <c:pt idx="274">
                  <c:v>51.059999999999633</c:v>
                </c:pt>
                <c:pt idx="275">
                  <c:v>51.749999999999631</c:v>
                </c:pt>
                <c:pt idx="276">
                  <c:v>52.439999999999628</c:v>
                </c:pt>
                <c:pt idx="277">
                  <c:v>53.129999999999626</c:v>
                </c:pt>
                <c:pt idx="278">
                  <c:v>53.819999999999624</c:v>
                </c:pt>
                <c:pt idx="279">
                  <c:v>54.509999999999621</c:v>
                </c:pt>
                <c:pt idx="280">
                  <c:v>55.199999999999619</c:v>
                </c:pt>
                <c:pt idx="281">
                  <c:v>55.889999999999617</c:v>
                </c:pt>
                <c:pt idx="282">
                  <c:v>56.579999999999615</c:v>
                </c:pt>
                <c:pt idx="283">
                  <c:v>57.269999999999612</c:v>
                </c:pt>
                <c:pt idx="284">
                  <c:v>57.95999999999961</c:v>
                </c:pt>
                <c:pt idx="285">
                  <c:v>58.649999999999608</c:v>
                </c:pt>
                <c:pt idx="286">
                  <c:v>59.339999999999606</c:v>
                </c:pt>
                <c:pt idx="287">
                  <c:v>60.029999999999603</c:v>
                </c:pt>
                <c:pt idx="288">
                  <c:v>60.719999999999601</c:v>
                </c:pt>
                <c:pt idx="289">
                  <c:v>61.409999999999599</c:v>
                </c:pt>
                <c:pt idx="290">
                  <c:v>62.099999999999596</c:v>
                </c:pt>
                <c:pt idx="291">
                  <c:v>62.789999999999594</c:v>
                </c:pt>
                <c:pt idx="292">
                  <c:v>63.479999999999592</c:v>
                </c:pt>
                <c:pt idx="293">
                  <c:v>64.16999999999959</c:v>
                </c:pt>
                <c:pt idx="294">
                  <c:v>64.859999999999587</c:v>
                </c:pt>
                <c:pt idx="295">
                  <c:v>65.549999999999585</c:v>
                </c:pt>
                <c:pt idx="296">
                  <c:v>66.239999999999583</c:v>
                </c:pt>
                <c:pt idx="297">
                  <c:v>66.92999999999958</c:v>
                </c:pt>
                <c:pt idx="298">
                  <c:v>67.619999999999578</c:v>
                </c:pt>
                <c:pt idx="299">
                  <c:v>68.309999999999576</c:v>
                </c:pt>
                <c:pt idx="300">
                  <c:v>68.999999999999574</c:v>
                </c:pt>
                <c:pt idx="301">
                  <c:v>69.689999999999571</c:v>
                </c:pt>
                <c:pt idx="302">
                  <c:v>70.379999999999569</c:v>
                </c:pt>
                <c:pt idx="303">
                  <c:v>71.069999999999567</c:v>
                </c:pt>
                <c:pt idx="304">
                  <c:v>71.759999999999565</c:v>
                </c:pt>
                <c:pt idx="305">
                  <c:v>72.449999999999562</c:v>
                </c:pt>
                <c:pt idx="306">
                  <c:v>73.13999999999956</c:v>
                </c:pt>
                <c:pt idx="307">
                  <c:v>73.829999999999558</c:v>
                </c:pt>
                <c:pt idx="308">
                  <c:v>74.519999999999555</c:v>
                </c:pt>
                <c:pt idx="309">
                  <c:v>75.209999999999553</c:v>
                </c:pt>
                <c:pt idx="310">
                  <c:v>75.899999999999551</c:v>
                </c:pt>
                <c:pt idx="311">
                  <c:v>76.589999999999549</c:v>
                </c:pt>
                <c:pt idx="312">
                  <c:v>77.279999999999546</c:v>
                </c:pt>
                <c:pt idx="313">
                  <c:v>77.969999999999544</c:v>
                </c:pt>
                <c:pt idx="314">
                  <c:v>78.659999999999542</c:v>
                </c:pt>
                <c:pt idx="315">
                  <c:v>79.34999999999954</c:v>
                </c:pt>
                <c:pt idx="316">
                  <c:v>80.039999999999537</c:v>
                </c:pt>
                <c:pt idx="317">
                  <c:v>80.729999999999535</c:v>
                </c:pt>
                <c:pt idx="318">
                  <c:v>81.419999999999533</c:v>
                </c:pt>
                <c:pt idx="319">
                  <c:v>82.10999999999953</c:v>
                </c:pt>
                <c:pt idx="320">
                  <c:v>82.799999999999528</c:v>
                </c:pt>
                <c:pt idx="321">
                  <c:v>83.489999999999526</c:v>
                </c:pt>
                <c:pt idx="322">
                  <c:v>84.179999999999524</c:v>
                </c:pt>
                <c:pt idx="323">
                  <c:v>84.869999999999521</c:v>
                </c:pt>
                <c:pt idx="324">
                  <c:v>85.559999999999519</c:v>
                </c:pt>
                <c:pt idx="325">
                  <c:v>86.249999999999517</c:v>
                </c:pt>
                <c:pt idx="326">
                  <c:v>86.939999999999515</c:v>
                </c:pt>
                <c:pt idx="327">
                  <c:v>87.629999999999512</c:v>
                </c:pt>
                <c:pt idx="328">
                  <c:v>88.31999999999951</c:v>
                </c:pt>
                <c:pt idx="329">
                  <c:v>89.009999999999508</c:v>
                </c:pt>
                <c:pt idx="330">
                  <c:v>89.699999999999505</c:v>
                </c:pt>
                <c:pt idx="331">
                  <c:v>90.389999999999503</c:v>
                </c:pt>
                <c:pt idx="332">
                  <c:v>91.079999999999501</c:v>
                </c:pt>
                <c:pt idx="333">
                  <c:v>91.769999999999499</c:v>
                </c:pt>
                <c:pt idx="334">
                  <c:v>92.459999999999496</c:v>
                </c:pt>
                <c:pt idx="335">
                  <c:v>93.149999999999494</c:v>
                </c:pt>
                <c:pt idx="336">
                  <c:v>93.839999999999492</c:v>
                </c:pt>
                <c:pt idx="337">
                  <c:v>94.52999999999949</c:v>
                </c:pt>
                <c:pt idx="338">
                  <c:v>95.219999999999487</c:v>
                </c:pt>
                <c:pt idx="339">
                  <c:v>95.909999999999485</c:v>
                </c:pt>
                <c:pt idx="340">
                  <c:v>96.599999999999483</c:v>
                </c:pt>
                <c:pt idx="341">
                  <c:v>97.28999999999948</c:v>
                </c:pt>
                <c:pt idx="342">
                  <c:v>97.979999999999478</c:v>
                </c:pt>
                <c:pt idx="343">
                  <c:v>98.669999999999476</c:v>
                </c:pt>
                <c:pt idx="344">
                  <c:v>99.359999999999474</c:v>
                </c:pt>
                <c:pt idx="345">
                  <c:v>100.04999999999947</c:v>
                </c:pt>
                <c:pt idx="346">
                  <c:v>100.73999999999947</c:v>
                </c:pt>
                <c:pt idx="347">
                  <c:v>101.42999999999947</c:v>
                </c:pt>
                <c:pt idx="348">
                  <c:v>102.11999999999946</c:v>
                </c:pt>
                <c:pt idx="349">
                  <c:v>102.80999999999946</c:v>
                </c:pt>
                <c:pt idx="350">
                  <c:v>103.49999999999946</c:v>
                </c:pt>
                <c:pt idx="351">
                  <c:v>104.18999999999946</c:v>
                </c:pt>
                <c:pt idx="352">
                  <c:v>104.87999999999946</c:v>
                </c:pt>
                <c:pt idx="353">
                  <c:v>105.56999999999945</c:v>
                </c:pt>
                <c:pt idx="354">
                  <c:v>106.25999999999945</c:v>
                </c:pt>
                <c:pt idx="355">
                  <c:v>106.94999999999945</c:v>
                </c:pt>
                <c:pt idx="356">
                  <c:v>107.63999999999945</c:v>
                </c:pt>
                <c:pt idx="357">
                  <c:v>108.32999999999944</c:v>
                </c:pt>
                <c:pt idx="358">
                  <c:v>109.01999999999944</c:v>
                </c:pt>
                <c:pt idx="359">
                  <c:v>109.70999999999944</c:v>
                </c:pt>
                <c:pt idx="360">
                  <c:v>110.39999999999944</c:v>
                </c:pt>
                <c:pt idx="361">
                  <c:v>111.08999999999943</c:v>
                </c:pt>
                <c:pt idx="362">
                  <c:v>111.77999999999943</c:v>
                </c:pt>
                <c:pt idx="363">
                  <c:v>112.46999999999943</c:v>
                </c:pt>
                <c:pt idx="364">
                  <c:v>113.15999999999943</c:v>
                </c:pt>
                <c:pt idx="365">
                  <c:v>113.84999999999943</c:v>
                </c:pt>
                <c:pt idx="366">
                  <c:v>114.53999999999942</c:v>
                </c:pt>
                <c:pt idx="367">
                  <c:v>115.22999999999942</c:v>
                </c:pt>
                <c:pt idx="368">
                  <c:v>115.91999999999942</c:v>
                </c:pt>
                <c:pt idx="369">
                  <c:v>116.60999999999942</c:v>
                </c:pt>
                <c:pt idx="370">
                  <c:v>117.29999999999941</c:v>
                </c:pt>
                <c:pt idx="371">
                  <c:v>117.98999999999941</c:v>
                </c:pt>
                <c:pt idx="372">
                  <c:v>118.67999999999941</c:v>
                </c:pt>
                <c:pt idx="373">
                  <c:v>119.36999999999941</c:v>
                </c:pt>
                <c:pt idx="374">
                  <c:v>120.05999999999941</c:v>
                </c:pt>
                <c:pt idx="375">
                  <c:v>120.7499999999994</c:v>
                </c:pt>
                <c:pt idx="376">
                  <c:v>121.4399999999994</c:v>
                </c:pt>
                <c:pt idx="377">
                  <c:v>122.1299999999994</c:v>
                </c:pt>
                <c:pt idx="378">
                  <c:v>122.8199999999994</c:v>
                </c:pt>
                <c:pt idx="379">
                  <c:v>123.50999999999939</c:v>
                </c:pt>
                <c:pt idx="380">
                  <c:v>124.19999999999939</c:v>
                </c:pt>
                <c:pt idx="381">
                  <c:v>124.88999999999939</c:v>
                </c:pt>
                <c:pt idx="382">
                  <c:v>125.57999999999939</c:v>
                </c:pt>
                <c:pt idx="383">
                  <c:v>126.26999999999938</c:v>
                </c:pt>
                <c:pt idx="384">
                  <c:v>126.95999999999938</c:v>
                </c:pt>
                <c:pt idx="385">
                  <c:v>127.64999999999938</c:v>
                </c:pt>
                <c:pt idx="386">
                  <c:v>128.33999999999938</c:v>
                </c:pt>
                <c:pt idx="387">
                  <c:v>129.02999999999938</c:v>
                </c:pt>
                <c:pt idx="388">
                  <c:v>129.71999999999937</c:v>
                </c:pt>
                <c:pt idx="389">
                  <c:v>130.40999999999937</c:v>
                </c:pt>
                <c:pt idx="390">
                  <c:v>131.09999999999937</c:v>
                </c:pt>
                <c:pt idx="391">
                  <c:v>131.78999999999937</c:v>
                </c:pt>
                <c:pt idx="392">
                  <c:v>132.47999999999936</c:v>
                </c:pt>
                <c:pt idx="393">
                  <c:v>133.16999999999936</c:v>
                </c:pt>
                <c:pt idx="394">
                  <c:v>133.85999999999936</c:v>
                </c:pt>
                <c:pt idx="395">
                  <c:v>134.54999999999936</c:v>
                </c:pt>
                <c:pt idx="396">
                  <c:v>135.23999999999936</c:v>
                </c:pt>
                <c:pt idx="397">
                  <c:v>135.92999999999935</c:v>
                </c:pt>
                <c:pt idx="398">
                  <c:v>136.61999999999935</c:v>
                </c:pt>
              </c:numCache>
            </c:numRef>
          </c:xVal>
          <c:yVal>
            <c:numRef>
              <c:f>CALCULATIONS!$S$30:$S$428</c:f>
              <c:numCache>
                <c:formatCode>General</c:formatCode>
                <c:ptCount val="399"/>
                <c:pt idx="0">
                  <c:v>353.43169495400053</c:v>
                </c:pt>
                <c:pt idx="1">
                  <c:v>354.1606517134307</c:v>
                </c:pt>
                <c:pt idx="2">
                  <c:v>354.88997648342581</c:v>
                </c:pt>
                <c:pt idx="3">
                  <c:v>355.61966935621717</c:v>
                </c:pt>
                <c:pt idx="4">
                  <c:v>356.3497305246425</c:v>
                </c:pt>
                <c:pt idx="5">
                  <c:v>357.08015980785478</c:v>
                </c:pt>
                <c:pt idx="6">
                  <c:v>357.81095759781726</c:v>
                </c:pt>
                <c:pt idx="7">
                  <c:v>358.54212630931715</c:v>
                </c:pt>
                <c:pt idx="8">
                  <c:v>359.27366126989693</c:v>
                </c:pt>
                <c:pt idx="9">
                  <c:v>360.0055699164439</c:v>
                </c:pt>
                <c:pt idx="10">
                  <c:v>360.73784291007581</c:v>
                </c:pt>
                <c:pt idx="11">
                  <c:v>361.47049133041548</c:v>
                </c:pt>
                <c:pt idx="12">
                  <c:v>362.20350744329448</c:v>
                </c:pt>
                <c:pt idx="13">
                  <c:v>362.93689527839206</c:v>
                </c:pt>
                <c:pt idx="14">
                  <c:v>363.67065409083159</c:v>
                </c:pt>
                <c:pt idx="15">
                  <c:v>364.40478371284934</c:v>
                </c:pt>
                <c:pt idx="16">
                  <c:v>365.13928456490754</c:v>
                </c:pt>
                <c:pt idx="17">
                  <c:v>365.8741586655471</c:v>
                </c:pt>
                <c:pt idx="18">
                  <c:v>366.60940364521656</c:v>
                </c:pt>
                <c:pt idx="19">
                  <c:v>367.34502121589975</c:v>
                </c:pt>
                <c:pt idx="20">
                  <c:v>368.08101371433128</c:v>
                </c:pt>
                <c:pt idx="21">
                  <c:v>368.81737396284217</c:v>
                </c:pt>
                <c:pt idx="22">
                  <c:v>369.55411208405121</c:v>
                </c:pt>
                <c:pt idx="23">
                  <c:v>370.29122464041592</c:v>
                </c:pt>
                <c:pt idx="24">
                  <c:v>371.02870668776973</c:v>
                </c:pt>
                <c:pt idx="25">
                  <c:v>371.76656618429541</c:v>
                </c:pt>
                <c:pt idx="26">
                  <c:v>372.50479732571767</c:v>
                </c:pt>
                <c:pt idx="27">
                  <c:v>373.24340677815121</c:v>
                </c:pt>
                <c:pt idx="28">
                  <c:v>373.98238783422016</c:v>
                </c:pt>
                <c:pt idx="29">
                  <c:v>374.72174686491655</c:v>
                </c:pt>
                <c:pt idx="30">
                  <c:v>375.46147728033242</c:v>
                </c:pt>
                <c:pt idx="31">
                  <c:v>376.20159095457535</c:v>
                </c:pt>
                <c:pt idx="32">
                  <c:v>376.9420729992429</c:v>
                </c:pt>
                <c:pt idx="33">
                  <c:v>377.68293498727058</c:v>
                </c:pt>
                <c:pt idx="34">
                  <c:v>378.42417593672775</c:v>
                </c:pt>
                <c:pt idx="35">
                  <c:v>379.16578688876751</c:v>
                </c:pt>
                <c:pt idx="36">
                  <c:v>379.90778359977725</c:v>
                </c:pt>
                <c:pt idx="37">
                  <c:v>380.65015242431417</c:v>
                </c:pt>
                <c:pt idx="38">
                  <c:v>381.39289912445696</c:v>
                </c:pt>
                <c:pt idx="39">
                  <c:v>382.13602745704776</c:v>
                </c:pt>
                <c:pt idx="40">
                  <c:v>382.87953147516976</c:v>
                </c:pt>
                <c:pt idx="41">
                  <c:v>383.62341400708931</c:v>
                </c:pt>
                <c:pt idx="42">
                  <c:v>384.36767855885125</c:v>
                </c:pt>
                <c:pt idx="43">
                  <c:v>385.11231659886602</c:v>
                </c:pt>
                <c:pt idx="44">
                  <c:v>385.85734120913253</c:v>
                </c:pt>
                <c:pt idx="45">
                  <c:v>386.60274177687432</c:v>
                </c:pt>
                <c:pt idx="46">
                  <c:v>387.3485216003258</c:v>
                </c:pt>
                <c:pt idx="47">
                  <c:v>388.09468467141778</c:v>
                </c:pt>
                <c:pt idx="48">
                  <c:v>388.84122722586636</c:v>
                </c:pt>
                <c:pt idx="49">
                  <c:v>389.58815118369347</c:v>
                </c:pt>
                <c:pt idx="50">
                  <c:v>390.3354545944988</c:v>
                </c:pt>
                <c:pt idx="51">
                  <c:v>391.08314297525675</c:v>
                </c:pt>
                <c:pt idx="52">
                  <c:v>391.83120940370054</c:v>
                </c:pt>
                <c:pt idx="53">
                  <c:v>392.57966245516144</c:v>
                </c:pt>
                <c:pt idx="54">
                  <c:v>393.32849417470578</c:v>
                </c:pt>
                <c:pt idx="55">
                  <c:v>394.07770988964234</c:v>
                </c:pt>
                <c:pt idx="56">
                  <c:v>394.82730985123726</c:v>
                </c:pt>
                <c:pt idx="57">
                  <c:v>395.57729205579511</c:v>
                </c:pt>
                <c:pt idx="58">
                  <c:v>396.3276598197848</c:v>
                </c:pt>
                <c:pt idx="59">
                  <c:v>397.07840717366992</c:v>
                </c:pt>
                <c:pt idx="60">
                  <c:v>397.82954407656973</c:v>
                </c:pt>
                <c:pt idx="61">
                  <c:v>398.58106056082045</c:v>
                </c:pt>
                <c:pt idx="62">
                  <c:v>399.33296621679096</c:v>
                </c:pt>
                <c:pt idx="63">
                  <c:v>400.08525472968802</c:v>
                </c:pt>
                <c:pt idx="64">
                  <c:v>400.83793115325602</c:v>
                </c:pt>
                <c:pt idx="65">
                  <c:v>401.59098745338787</c:v>
                </c:pt>
                <c:pt idx="66">
                  <c:v>402.34443548020721</c:v>
                </c:pt>
                <c:pt idx="67">
                  <c:v>403.09827036035881</c:v>
                </c:pt>
                <c:pt idx="68">
                  <c:v>403.85248539412936</c:v>
                </c:pt>
                <c:pt idx="69">
                  <c:v>404.60709706448955</c:v>
                </c:pt>
                <c:pt idx="70">
                  <c:v>405.36208416257199</c:v>
                </c:pt>
                <c:pt idx="71">
                  <c:v>406.11747015570228</c:v>
                </c:pt>
                <c:pt idx="72">
                  <c:v>406.87323693288715</c:v>
                </c:pt>
                <c:pt idx="73">
                  <c:v>407.62939408169871</c:v>
                </c:pt>
                <c:pt idx="74">
                  <c:v>408.38593895866615</c:v>
                </c:pt>
                <c:pt idx="75">
                  <c:v>409.14287332343201</c:v>
                </c:pt>
                <c:pt idx="76">
                  <c:v>409.90019715140505</c:v>
                </c:pt>
                <c:pt idx="77">
                  <c:v>410.6579085998892</c:v>
                </c:pt>
                <c:pt idx="78">
                  <c:v>411.41601281539886</c:v>
                </c:pt>
                <c:pt idx="79">
                  <c:v>412.1744992433841</c:v>
                </c:pt>
                <c:pt idx="80">
                  <c:v>412.93338905231099</c:v>
                </c:pt>
                <c:pt idx="81">
                  <c:v>413.69265781694941</c:v>
                </c:pt>
                <c:pt idx="82">
                  <c:v>414.45232119581902</c:v>
                </c:pt>
                <c:pt idx="83">
                  <c:v>415.21237520633753</c:v>
                </c:pt>
                <c:pt idx="84">
                  <c:v>415.97282426758346</c:v>
                </c:pt>
                <c:pt idx="85">
                  <c:v>416.73366191566578</c:v>
                </c:pt>
                <c:pt idx="86">
                  <c:v>417.49488881255161</c:v>
                </c:pt>
                <c:pt idx="87">
                  <c:v>418.25651418228324</c:v>
                </c:pt>
                <c:pt idx="88">
                  <c:v>419.01852648767266</c:v>
                </c:pt>
                <c:pt idx="89">
                  <c:v>419.78093644305983</c:v>
                </c:pt>
                <c:pt idx="90">
                  <c:v>420.54373782894299</c:v>
                </c:pt>
                <c:pt idx="91">
                  <c:v>421.306933010021</c:v>
                </c:pt>
                <c:pt idx="92">
                  <c:v>422.07051846898401</c:v>
                </c:pt>
                <c:pt idx="93">
                  <c:v>422.83450337702618</c:v>
                </c:pt>
                <c:pt idx="94">
                  <c:v>423.59888036622692</c:v>
                </c:pt>
                <c:pt idx="95">
                  <c:v>424.36365412044245</c:v>
                </c:pt>
                <c:pt idx="96">
                  <c:v>425.12881866643335</c:v>
                </c:pt>
                <c:pt idx="97">
                  <c:v>425.89438357418504</c:v>
                </c:pt>
                <c:pt idx="98">
                  <c:v>426.66033891889742</c:v>
                </c:pt>
                <c:pt idx="99">
                  <c:v>427.4266951452264</c:v>
                </c:pt>
                <c:pt idx="100">
                  <c:v>428.19344512528022</c:v>
                </c:pt>
                <c:pt idx="101">
                  <c:v>428.96059267601936</c:v>
                </c:pt>
                <c:pt idx="102">
                  <c:v>429.7281369089543</c:v>
                </c:pt>
                <c:pt idx="103">
                  <c:v>430.49607767664423</c:v>
                </c:pt>
                <c:pt idx="104">
                  <c:v>431.26441697350572</c:v>
                </c:pt>
                <c:pt idx="105">
                  <c:v>432.03315479504374</c:v>
                </c:pt>
                <c:pt idx="106">
                  <c:v>432.80228700487112</c:v>
                </c:pt>
                <c:pt idx="107">
                  <c:v>433.57182209374372</c:v>
                </c:pt>
                <c:pt idx="108">
                  <c:v>434.34175536102435</c:v>
                </c:pt>
                <c:pt idx="109">
                  <c:v>435.11208421874011</c:v>
                </c:pt>
                <c:pt idx="110">
                  <c:v>435.88281602709498</c:v>
                </c:pt>
                <c:pt idx="111">
                  <c:v>436.65394692897627</c:v>
                </c:pt>
                <c:pt idx="112">
                  <c:v>437.42547735575755</c:v>
                </c:pt>
                <c:pt idx="113">
                  <c:v>438.19740780474365</c:v>
                </c:pt>
                <c:pt idx="114">
                  <c:v>438.96973812082712</c:v>
                </c:pt>
                <c:pt idx="115">
                  <c:v>439.7424718134651</c:v>
                </c:pt>
                <c:pt idx="116">
                  <c:v>440.5156067083326</c:v>
                </c:pt>
                <c:pt idx="117">
                  <c:v>441.28914065907958</c:v>
                </c:pt>
                <c:pt idx="118">
                  <c:v>442.06307592244542</c:v>
                </c:pt>
                <c:pt idx="119">
                  <c:v>442.83741704034446</c:v>
                </c:pt>
                <c:pt idx="120">
                  <c:v>443.61215913124482</c:v>
                </c:pt>
                <c:pt idx="121">
                  <c:v>444.38730172358754</c:v>
                </c:pt>
                <c:pt idx="122">
                  <c:v>445.16285474826077</c:v>
                </c:pt>
                <c:pt idx="123">
                  <c:v>445.93880087961099</c:v>
                </c:pt>
                <c:pt idx="124">
                  <c:v>446.71515908969451</c:v>
                </c:pt>
                <c:pt idx="125">
                  <c:v>447.4919150512149</c:v>
                </c:pt>
                <c:pt idx="126">
                  <c:v>448.26908278342302</c:v>
                </c:pt>
                <c:pt idx="127">
                  <c:v>449.04664947293406</c:v>
                </c:pt>
                <c:pt idx="128">
                  <c:v>449.8246218127266</c:v>
                </c:pt>
                <c:pt idx="129">
                  <c:v>450.60300058437201</c:v>
                </c:pt>
                <c:pt idx="130">
                  <c:v>451.38178815623496</c:v>
                </c:pt>
                <c:pt idx="131">
                  <c:v>452.16097477966423</c:v>
                </c:pt>
                <c:pt idx="132">
                  <c:v>452.94057205879341</c:v>
                </c:pt>
                <c:pt idx="133">
                  <c:v>453.72057875593185</c:v>
                </c:pt>
                <c:pt idx="134">
                  <c:v>454.50098442187101</c:v>
                </c:pt>
                <c:pt idx="135">
                  <c:v>455.28180713293494</c:v>
                </c:pt>
                <c:pt idx="136">
                  <c:v>456.063028795153</c:v>
                </c:pt>
                <c:pt idx="137">
                  <c:v>456.84466304597851</c:v>
                </c:pt>
                <c:pt idx="138">
                  <c:v>457.62670423023832</c:v>
                </c:pt>
                <c:pt idx="139">
                  <c:v>458.40915607700293</c:v>
                </c:pt>
                <c:pt idx="140">
                  <c:v>459.19201140574711</c:v>
                </c:pt>
                <c:pt idx="141">
                  <c:v>459.97528193656831</c:v>
                </c:pt>
                <c:pt idx="142">
                  <c:v>460.75895583995077</c:v>
                </c:pt>
                <c:pt idx="143">
                  <c:v>461.54304740564413</c:v>
                </c:pt>
                <c:pt idx="144">
                  <c:v>462.32754644841646</c:v>
                </c:pt>
                <c:pt idx="145">
                  <c:v>463.11244829763393</c:v>
                </c:pt>
                <c:pt idx="146">
                  <c:v>463.89776995064472</c:v>
                </c:pt>
                <c:pt idx="147">
                  <c:v>464.68350049009905</c:v>
                </c:pt>
                <c:pt idx="148">
                  <c:v>465.46964183568878</c:v>
                </c:pt>
                <c:pt idx="149">
                  <c:v>466.25619517359917</c:v>
                </c:pt>
                <c:pt idx="150">
                  <c:v>467.04315768809528</c:v>
                </c:pt>
                <c:pt idx="151">
                  <c:v>467.83053800883567</c:v>
                </c:pt>
                <c:pt idx="152">
                  <c:v>468.61832772655771</c:v>
                </c:pt>
                <c:pt idx="153">
                  <c:v>469.40652905629833</c:v>
                </c:pt>
                <c:pt idx="154">
                  <c:v>470.19514841800333</c:v>
                </c:pt>
                <c:pt idx="155">
                  <c:v>470.98417912591589</c:v>
                </c:pt>
                <c:pt idx="156">
                  <c:v>471.77362192792697</c:v>
                </c:pt>
                <c:pt idx="157">
                  <c:v>472.56348096483305</c:v>
                </c:pt>
                <c:pt idx="158">
                  <c:v>473.35375546669798</c:v>
                </c:pt>
                <c:pt idx="159">
                  <c:v>474.14444302496173</c:v>
                </c:pt>
                <c:pt idx="160">
                  <c:v>474.93554798078168</c:v>
                </c:pt>
                <c:pt idx="161">
                  <c:v>475.72706718285025</c:v>
                </c:pt>
                <c:pt idx="162">
                  <c:v>476.51900341701554</c:v>
                </c:pt>
                <c:pt idx="163">
                  <c:v>477.31135275469586</c:v>
                </c:pt>
                <c:pt idx="164">
                  <c:v>478.10412405634736</c:v>
                </c:pt>
                <c:pt idx="165">
                  <c:v>478.89731094617946</c:v>
                </c:pt>
                <c:pt idx="166">
                  <c:v>479.6909104455637</c:v>
                </c:pt>
                <c:pt idx="167">
                  <c:v>480.48493078223112</c:v>
                </c:pt>
                <c:pt idx="168">
                  <c:v>481.27937169870114</c:v>
                </c:pt>
                <c:pt idx="169">
                  <c:v>482.07422864589284</c:v>
                </c:pt>
                <c:pt idx="170">
                  <c:v>482.86950315134675</c:v>
                </c:pt>
                <c:pt idx="171">
                  <c:v>483.6651941916424</c:v>
                </c:pt>
                <c:pt idx="172">
                  <c:v>484.46131391224066</c:v>
                </c:pt>
                <c:pt idx="173">
                  <c:v>485.25784391547234</c:v>
                </c:pt>
                <c:pt idx="174">
                  <c:v>486.05479910296577</c:v>
                </c:pt>
                <c:pt idx="175">
                  <c:v>486.85216897301706</c:v>
                </c:pt>
                <c:pt idx="176">
                  <c:v>487.64996600052967</c:v>
                </c:pt>
                <c:pt idx="177">
                  <c:v>488.44818239669286</c:v>
                </c:pt>
                <c:pt idx="178">
                  <c:v>489.24681478139604</c:v>
                </c:pt>
                <c:pt idx="179">
                  <c:v>490.04587680004227</c:v>
                </c:pt>
                <c:pt idx="180">
                  <c:v>490.84535355676661</c:v>
                </c:pt>
                <c:pt idx="181">
                  <c:v>491.64525976712997</c:v>
                </c:pt>
                <c:pt idx="182">
                  <c:v>492.44558052612837</c:v>
                </c:pt>
                <c:pt idx="183">
                  <c:v>493.24632891890263</c:v>
                </c:pt>
                <c:pt idx="184">
                  <c:v>494.04750458593202</c:v>
                </c:pt>
                <c:pt idx="185">
                  <c:v>494.84909532986768</c:v>
                </c:pt>
                <c:pt idx="186">
                  <c:v>495.65111542086652</c:v>
                </c:pt>
                <c:pt idx="187">
                  <c:v>496.45355820873664</c:v>
                </c:pt>
                <c:pt idx="188">
                  <c:v>497.25642622639975</c:v>
                </c:pt>
                <c:pt idx="189">
                  <c:v>498.05971653038091</c:v>
                </c:pt>
                <c:pt idx="190">
                  <c:v>498.86344103936284</c:v>
                </c:pt>
                <c:pt idx="191">
                  <c:v>499.66757740326921</c:v>
                </c:pt>
                <c:pt idx="192">
                  <c:v>500.47214788388061</c:v>
                </c:pt>
                <c:pt idx="193">
                  <c:v>501.27714976062884</c:v>
                </c:pt>
                <c:pt idx="194">
                  <c:v>502.0825690337677</c:v>
                </c:pt>
                <c:pt idx="195">
                  <c:v>502.88841892977979</c:v>
                </c:pt>
                <c:pt idx="196">
                  <c:v>503.69469300986844</c:v>
                </c:pt>
                <c:pt idx="197">
                  <c:v>504.50140188842727</c:v>
                </c:pt>
                <c:pt idx="198">
                  <c:v>505.30853349429896</c:v>
                </c:pt>
                <c:pt idx="199">
                  <c:v>506.11609380233529</c:v>
                </c:pt>
                <c:pt idx="200">
                  <c:v>506.9240821948859</c:v>
                </c:pt>
                <c:pt idx="201">
                  <c:v>507.73250578306181</c:v>
                </c:pt>
                <c:pt idx="202">
                  <c:v>508.54135154755596</c:v>
                </c:pt>
                <c:pt idx="203">
                  <c:v>509.35062667186361</c:v>
                </c:pt>
                <c:pt idx="204">
                  <c:v>510.16034041514519</c:v>
                </c:pt>
                <c:pt idx="205">
                  <c:v>510.97047394543443</c:v>
                </c:pt>
                <c:pt idx="206">
                  <c:v>511.78104438991085</c:v>
                </c:pt>
                <c:pt idx="207">
                  <c:v>512.59204658716919</c:v>
                </c:pt>
                <c:pt idx="208">
                  <c:v>513.4034783011208</c:v>
                </c:pt>
                <c:pt idx="209">
                  <c:v>514.21534026770701</c:v>
                </c:pt>
                <c:pt idx="210">
                  <c:v>515.0276362419462</c:v>
                </c:pt>
                <c:pt idx="211">
                  <c:v>515.84036708843541</c:v>
                </c:pt>
                <c:pt idx="212">
                  <c:v>516.65352675127679</c:v>
                </c:pt>
                <c:pt idx="213">
                  <c:v>517.46711812982062</c:v>
                </c:pt>
                <c:pt idx="214">
                  <c:v>518.28115121575149</c:v>
                </c:pt>
                <c:pt idx="215">
                  <c:v>519.09560801601879</c:v>
                </c:pt>
                <c:pt idx="216">
                  <c:v>519.91050665755756</c:v>
                </c:pt>
                <c:pt idx="217">
                  <c:v>520.72583720771888</c:v>
                </c:pt>
                <c:pt idx="218">
                  <c:v>521.54160385625005</c:v>
                </c:pt>
                <c:pt idx="219">
                  <c:v>522.35779866824419</c:v>
                </c:pt>
                <c:pt idx="220">
                  <c:v>523.17444122179575</c:v>
                </c:pt>
                <c:pt idx="221">
                  <c:v>523.991510402259</c:v>
                </c:pt>
                <c:pt idx="222">
                  <c:v>524.80902083600813</c:v>
                </c:pt>
                <c:pt idx="223">
                  <c:v>525.62696469301397</c:v>
                </c:pt>
                <c:pt idx="224">
                  <c:v>526.44534545825877</c:v>
                </c:pt>
                <c:pt idx="225">
                  <c:v>527.26416669877733</c:v>
                </c:pt>
                <c:pt idx="226">
                  <c:v>528.08342582126738</c:v>
                </c:pt>
                <c:pt idx="227">
                  <c:v>528.90311606320222</c:v>
                </c:pt>
                <c:pt idx="228">
                  <c:v>529.72325679002017</c:v>
                </c:pt>
                <c:pt idx="229">
                  <c:v>530.54382353706194</c:v>
                </c:pt>
                <c:pt idx="230">
                  <c:v>531.3648368720219</c:v>
                </c:pt>
                <c:pt idx="231">
                  <c:v>532.18628806759318</c:v>
                </c:pt>
                <c:pt idx="232">
                  <c:v>533.00817786522805</c:v>
                </c:pt>
                <c:pt idx="233">
                  <c:v>533.83051343252623</c:v>
                </c:pt>
                <c:pt idx="234">
                  <c:v>534.65327966540701</c:v>
                </c:pt>
                <c:pt idx="235">
                  <c:v>535.47649447480205</c:v>
                </c:pt>
                <c:pt idx="236">
                  <c:v>536.30014705557494</c:v>
                </c:pt>
                <c:pt idx="237">
                  <c:v>537.12424588143062</c:v>
                </c:pt>
                <c:pt idx="238">
                  <c:v>537.94878121162878</c:v>
                </c:pt>
                <c:pt idx="239">
                  <c:v>538.77375405242776</c:v>
                </c:pt>
                <c:pt idx="240">
                  <c:v>539.59918718640847</c:v>
                </c:pt>
                <c:pt idx="241">
                  <c:v>540.42504595830678</c:v>
                </c:pt>
                <c:pt idx="242">
                  <c:v>541.2513565327481</c:v>
                </c:pt>
                <c:pt idx="243">
                  <c:v>542.07810815516427</c:v>
                </c:pt>
                <c:pt idx="244">
                  <c:v>542.90530427104409</c:v>
                </c:pt>
                <c:pt idx="245">
                  <c:v>543.73294840383278</c:v>
                </c:pt>
                <c:pt idx="246">
                  <c:v>544.5610275589471</c:v>
                </c:pt>
                <c:pt idx="247">
                  <c:v>545.38956413239464</c:v>
                </c:pt>
                <c:pt idx="248">
                  <c:v>546.21853964112483</c:v>
                </c:pt>
                <c:pt idx="249">
                  <c:v>547.04796109255358</c:v>
                </c:pt>
                <c:pt idx="250">
                  <c:v>547.87782665516374</c:v>
                </c:pt>
                <c:pt idx="251">
                  <c:v>548.70814349694353</c:v>
                </c:pt>
                <c:pt idx="252">
                  <c:v>549.5389098936505</c:v>
                </c:pt>
                <c:pt idx="253">
                  <c:v>550.37011396304104</c:v>
                </c:pt>
                <c:pt idx="254">
                  <c:v>551.20177318665594</c:v>
                </c:pt>
                <c:pt idx="255">
                  <c:v>552.03387800424377</c:v>
                </c:pt>
                <c:pt idx="256">
                  <c:v>552.86643359961874</c:v>
                </c:pt>
                <c:pt idx="257">
                  <c:v>553.69943152693509</c:v>
                </c:pt>
                <c:pt idx="258">
                  <c:v>554.53288392431796</c:v>
                </c:pt>
                <c:pt idx="259">
                  <c:v>555.36678815034327</c:v>
                </c:pt>
                <c:pt idx="260">
                  <c:v>556.20113463979624</c:v>
                </c:pt>
                <c:pt idx="261">
                  <c:v>557.03593805789023</c:v>
                </c:pt>
                <c:pt idx="262">
                  <c:v>557.87118773408736</c:v>
                </c:pt>
                <c:pt idx="263">
                  <c:v>558.70689386673121</c:v>
                </c:pt>
                <c:pt idx="264">
                  <c:v>559.5430411107734</c:v>
                </c:pt>
                <c:pt idx="265">
                  <c:v>560.37965732117414</c:v>
                </c:pt>
                <c:pt idx="266">
                  <c:v>561.21670373639449</c:v>
                </c:pt>
                <c:pt idx="267">
                  <c:v>562.05421895503719</c:v>
                </c:pt>
                <c:pt idx="268">
                  <c:v>562.89218059773441</c:v>
                </c:pt>
                <c:pt idx="269">
                  <c:v>563.73060043512032</c:v>
                </c:pt>
                <c:pt idx="270">
                  <c:v>564.56946305887607</c:v>
                </c:pt>
                <c:pt idx="271">
                  <c:v>565.40879107813532</c:v>
                </c:pt>
                <c:pt idx="272">
                  <c:v>566.2485643366249</c:v>
                </c:pt>
                <c:pt idx="273">
                  <c:v>567.08880086598117</c:v>
                </c:pt>
                <c:pt idx="274">
                  <c:v>567.92948765555093</c:v>
                </c:pt>
                <c:pt idx="275">
                  <c:v>568.7706272627629</c:v>
                </c:pt>
                <c:pt idx="276">
                  <c:v>569.61223320290026</c:v>
                </c:pt>
                <c:pt idx="277">
                  <c:v>570.45427547363431</c:v>
                </c:pt>
                <c:pt idx="278">
                  <c:v>571.29679316029842</c:v>
                </c:pt>
                <c:pt idx="279">
                  <c:v>572.13976233330129</c:v>
                </c:pt>
                <c:pt idx="280">
                  <c:v>572.98318453467266</c:v>
                </c:pt>
                <c:pt idx="281">
                  <c:v>573.82706995628484</c:v>
                </c:pt>
                <c:pt idx="282">
                  <c:v>574.67140553043748</c:v>
                </c:pt>
                <c:pt idx="283">
                  <c:v>575.51620648975472</c:v>
                </c:pt>
                <c:pt idx="284">
                  <c:v>576.36146348909142</c:v>
                </c:pt>
                <c:pt idx="285">
                  <c:v>577.20718202074352</c:v>
                </c:pt>
                <c:pt idx="286">
                  <c:v>578.0533564522641</c:v>
                </c:pt>
                <c:pt idx="287">
                  <c:v>578.89999361930938</c:v>
                </c:pt>
                <c:pt idx="288">
                  <c:v>579.7470891823682</c:v>
                </c:pt>
                <c:pt idx="289">
                  <c:v>580.59464381230987</c:v>
                </c:pt>
                <c:pt idx="290">
                  <c:v>581.44266452521788</c:v>
                </c:pt>
                <c:pt idx="291">
                  <c:v>582.2911445340726</c:v>
                </c:pt>
                <c:pt idx="292">
                  <c:v>583.14007700247521</c:v>
                </c:pt>
                <c:pt idx="293">
                  <c:v>583.98948940082653</c:v>
                </c:pt>
                <c:pt idx="294">
                  <c:v>584.83934574230125</c:v>
                </c:pt>
                <c:pt idx="295">
                  <c:v>585.68968388256849</c:v>
                </c:pt>
                <c:pt idx="296">
                  <c:v>586.54046641660682</c:v>
                </c:pt>
                <c:pt idx="297">
                  <c:v>587.39172633594796</c:v>
                </c:pt>
                <c:pt idx="298">
                  <c:v>588.24344282158984</c:v>
                </c:pt>
                <c:pt idx="299">
                  <c:v>589.09562721174814</c:v>
                </c:pt>
                <c:pt idx="300">
                  <c:v>589.94827412480436</c:v>
                </c:pt>
                <c:pt idx="301">
                  <c:v>590.80138856430472</c:v>
                </c:pt>
                <c:pt idx="302">
                  <c:v>591.65496386656787</c:v>
                </c:pt>
                <c:pt idx="303">
                  <c:v>592.50901296747861</c:v>
                </c:pt>
                <c:pt idx="304">
                  <c:v>593.3635187681856</c:v>
                </c:pt>
                <c:pt idx="305">
                  <c:v>594.21850088878091</c:v>
                </c:pt>
                <c:pt idx="306">
                  <c:v>595.07393956843384</c:v>
                </c:pt>
                <c:pt idx="307">
                  <c:v>595.92985459756517</c:v>
                </c:pt>
                <c:pt idx="308">
                  <c:v>596.78623546041501</c:v>
                </c:pt>
                <c:pt idx="309">
                  <c:v>597.64308087693394</c:v>
                </c:pt>
                <c:pt idx="310">
                  <c:v>598.50039626337707</c:v>
                </c:pt>
                <c:pt idx="311">
                  <c:v>599.35818578633325</c:v>
                </c:pt>
                <c:pt idx="312">
                  <c:v>600.216436214434</c:v>
                </c:pt>
                <c:pt idx="313">
                  <c:v>601.07516384866722</c:v>
                </c:pt>
                <c:pt idx="314">
                  <c:v>601.93435276053765</c:v>
                </c:pt>
                <c:pt idx="315">
                  <c:v>602.79402347142923</c:v>
                </c:pt>
                <c:pt idx="316">
                  <c:v>603.65415461830958</c:v>
                </c:pt>
                <c:pt idx="317">
                  <c:v>604.51476143501986</c:v>
                </c:pt>
                <c:pt idx="318">
                  <c:v>605.37584705134293</c:v>
                </c:pt>
                <c:pt idx="319">
                  <c:v>606.23738997753651</c:v>
                </c:pt>
                <c:pt idx="320">
                  <c:v>607.09941801184436</c:v>
                </c:pt>
                <c:pt idx="321">
                  <c:v>607.96190827159398</c:v>
                </c:pt>
                <c:pt idx="322">
                  <c:v>608.82488051315238</c:v>
                </c:pt>
                <c:pt idx="323">
                  <c:v>609.6883270069834</c:v>
                </c:pt>
                <c:pt idx="324">
                  <c:v>610.55223439896679</c:v>
                </c:pt>
                <c:pt idx="325">
                  <c:v>611.41663523864656</c:v>
                </c:pt>
                <c:pt idx="326">
                  <c:v>612.28149393403885</c:v>
                </c:pt>
                <c:pt idx="327">
                  <c:v>613.14684184517887</c:v>
                </c:pt>
                <c:pt idx="328">
                  <c:v>614.01264460184132</c:v>
                </c:pt>
                <c:pt idx="329">
                  <c:v>614.87895351953341</c:v>
                </c:pt>
                <c:pt idx="330">
                  <c:v>615.74571018160248</c:v>
                </c:pt>
                <c:pt idx="331">
                  <c:v>616.61296193180215</c:v>
                </c:pt>
                <c:pt idx="332">
                  <c:v>617.48068412354394</c:v>
                </c:pt>
                <c:pt idx="333">
                  <c:v>618.34888181636427</c:v>
                </c:pt>
                <c:pt idx="334">
                  <c:v>619.21756015355106</c:v>
                </c:pt>
                <c:pt idx="335">
                  <c:v>620.08671431989217</c:v>
                </c:pt>
                <c:pt idx="336">
                  <c:v>620.95635242016442</c:v>
                </c:pt>
                <c:pt idx="337">
                  <c:v>621.82646824922983</c:v>
                </c:pt>
                <c:pt idx="338">
                  <c:v>622.69705989824581</c:v>
                </c:pt>
                <c:pt idx="339">
                  <c:v>623.56812691368771</c:v>
                </c:pt>
                <c:pt idx="340">
                  <c:v>624.43969068545562</c:v>
                </c:pt>
                <c:pt idx="341">
                  <c:v>625.31171888927202</c:v>
                </c:pt>
                <c:pt idx="342">
                  <c:v>626.18423592025795</c:v>
                </c:pt>
                <c:pt idx="343">
                  <c:v>627.05723126312068</c:v>
                </c:pt>
                <c:pt idx="344">
                  <c:v>627.93071343504425</c:v>
                </c:pt>
                <c:pt idx="345">
                  <c:v>628.80467189546334</c:v>
                </c:pt>
                <c:pt idx="346">
                  <c:v>629.67911080506178</c:v>
                </c:pt>
                <c:pt idx="347">
                  <c:v>630.55405219776083</c:v>
                </c:pt>
                <c:pt idx="348">
                  <c:v>631.42944697355665</c:v>
                </c:pt>
                <c:pt idx="349">
                  <c:v>632.3053454560378</c:v>
                </c:pt>
                <c:pt idx="350">
                  <c:v>633.18172376111636</c:v>
                </c:pt>
                <c:pt idx="351">
                  <c:v>634.05859376362025</c:v>
                </c:pt>
                <c:pt idx="352">
                  <c:v>634.93593440369841</c:v>
                </c:pt>
                <c:pt idx="353">
                  <c:v>635.81376061204423</c:v>
                </c:pt>
                <c:pt idx="354">
                  <c:v>636.69209809743586</c:v>
                </c:pt>
                <c:pt idx="355">
                  <c:v>637.57089249414378</c:v>
                </c:pt>
                <c:pt idx="356">
                  <c:v>638.45018619350458</c:v>
                </c:pt>
                <c:pt idx="357">
                  <c:v>639.329970229016</c:v>
                </c:pt>
                <c:pt idx="358">
                  <c:v>640.21022944203958</c:v>
                </c:pt>
                <c:pt idx="359">
                  <c:v>641.09098686737366</c:v>
                </c:pt>
                <c:pt idx="360">
                  <c:v>641.97223198931363</c:v>
                </c:pt>
                <c:pt idx="361">
                  <c:v>642.85396499331421</c:v>
                </c:pt>
                <c:pt idx="362">
                  <c:v>643.73618763697857</c:v>
                </c:pt>
                <c:pt idx="363">
                  <c:v>644.6188877678693</c:v>
                </c:pt>
                <c:pt idx="364">
                  <c:v>645.50209665348768</c:v>
                </c:pt>
                <c:pt idx="365">
                  <c:v>646.38578669092044</c:v>
                </c:pt>
                <c:pt idx="366">
                  <c:v>647.26996907631747</c:v>
                </c:pt>
                <c:pt idx="367">
                  <c:v>648.1546410456059</c:v>
                </c:pt>
                <c:pt idx="368">
                  <c:v>649.03979982796216</c:v>
                </c:pt>
                <c:pt idx="369">
                  <c:v>649.92546628600155</c:v>
                </c:pt>
                <c:pt idx="370">
                  <c:v>650.81160622274501</c:v>
                </c:pt>
                <c:pt idx="371">
                  <c:v>651.69824847554185</c:v>
                </c:pt>
                <c:pt idx="372">
                  <c:v>652.58538567464609</c:v>
                </c:pt>
                <c:pt idx="373">
                  <c:v>653.47301676589586</c:v>
                </c:pt>
                <c:pt idx="374">
                  <c:v>654.36113431603928</c:v>
                </c:pt>
                <c:pt idx="375">
                  <c:v>655.24975165935746</c:v>
                </c:pt>
                <c:pt idx="376">
                  <c:v>656.13886141652517</c:v>
                </c:pt>
                <c:pt idx="377">
                  <c:v>657.02847708913703</c:v>
                </c:pt>
                <c:pt idx="378">
                  <c:v>657.91856712763683</c:v>
                </c:pt>
                <c:pt idx="379">
                  <c:v>658.80918063232684</c:v>
                </c:pt>
                <c:pt idx="380">
                  <c:v>659.70026008981506</c:v>
                </c:pt>
                <c:pt idx="381">
                  <c:v>660.59185972904015</c:v>
                </c:pt>
                <c:pt idx="382">
                  <c:v>661.48394786328618</c:v>
                </c:pt>
                <c:pt idx="383">
                  <c:v>662.37654323095603</c:v>
                </c:pt>
                <c:pt idx="384">
                  <c:v>663.26961883661363</c:v>
                </c:pt>
                <c:pt idx="385">
                  <c:v>664.1632017273713</c:v>
                </c:pt>
                <c:pt idx="386">
                  <c:v>665.05728791023932</c:v>
                </c:pt>
                <c:pt idx="387">
                  <c:v>665.95187502560248</c:v>
                </c:pt>
                <c:pt idx="388">
                  <c:v>666.84695241457473</c:v>
                </c:pt>
                <c:pt idx="389">
                  <c:v>667.74253261605998</c:v>
                </c:pt>
                <c:pt idx="390">
                  <c:v>668.63862498998162</c:v>
                </c:pt>
                <c:pt idx="391">
                  <c:v>669.53520054980106</c:v>
                </c:pt>
                <c:pt idx="392">
                  <c:v>670.43228536141339</c:v>
                </c:pt>
                <c:pt idx="393">
                  <c:v>671.32988393291703</c:v>
                </c:pt>
                <c:pt idx="394">
                  <c:v>672.22796037717353</c:v>
                </c:pt>
                <c:pt idx="395">
                  <c:v>673.12656297104127</c:v>
                </c:pt>
                <c:pt idx="396">
                  <c:v>674.02566086263937</c:v>
                </c:pt>
                <c:pt idx="397">
                  <c:v>674.92525178347842</c:v>
                </c:pt>
                <c:pt idx="398">
                  <c:v>675.82535902477787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95-4E02-805F-2557AB9EC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423000"/>
        <c:axId val="758420376"/>
      </c:scatterChart>
      <c:valAx>
        <c:axId val="758423000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mirror length (mm)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58420376"/>
        <c:crosses val="autoZero"/>
        <c:crossBetween val="midCat"/>
      </c:valAx>
      <c:valAx>
        <c:axId val="7584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Radius</a:t>
                </a:r>
                <a:r>
                  <a:rPr lang="en-US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(m)</a:t>
                </a:r>
                <a:endParaRPr lang="en-US" sz="12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758423000"/>
        <c:crosses val="autoZero"/>
        <c:crossBetween val="midCat"/>
      </c:valAx>
      <c:spPr>
        <a:effectLst/>
      </c:spPr>
    </c:plotArea>
    <c:plotVisOnly val="1"/>
    <c:dispBlanksAs val="gap"/>
    <c:showDLblsOverMax val="0"/>
    <c:extLst/>
  </c:chart>
  <c:spPr>
    <a:ln w="12700">
      <a:solidFill>
        <a:schemeClr val="tx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40065</xdr:colOff>
      <xdr:row>14</xdr:row>
      <xdr:rowOff>119972</xdr:rowOff>
    </xdr:from>
    <xdr:to>
      <xdr:col>24</xdr:col>
      <xdr:colOff>511857</xdr:colOff>
      <xdr:row>29</xdr:row>
      <xdr:rowOff>58363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46551</xdr:colOff>
      <xdr:row>0</xdr:row>
      <xdr:rowOff>0</xdr:rowOff>
    </xdr:from>
    <xdr:to>
      <xdr:col>24</xdr:col>
      <xdr:colOff>518343</xdr:colOff>
      <xdr:row>14</xdr:row>
      <xdr:rowOff>108626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76200</xdr:rowOff>
        </xdr:from>
        <xdr:to>
          <xdr:col>10</xdr:col>
          <xdr:colOff>694267</xdr:colOff>
          <xdr:row>21</xdr:row>
          <xdr:rowOff>173567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29633</xdr:colOff>
          <xdr:row>10</xdr:row>
          <xdr:rowOff>0</xdr:rowOff>
        </xdr:from>
        <xdr:to>
          <xdr:col>11</xdr:col>
          <xdr:colOff>389467</xdr:colOff>
          <xdr:row>11</xdr:row>
          <xdr:rowOff>97367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29633</xdr:colOff>
          <xdr:row>8</xdr:row>
          <xdr:rowOff>105833</xdr:rowOff>
        </xdr:from>
        <xdr:to>
          <xdr:col>11</xdr:col>
          <xdr:colOff>389467</xdr:colOff>
          <xdr:row>10</xdr:row>
          <xdr:rowOff>8467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29633</xdr:colOff>
          <xdr:row>7</xdr:row>
          <xdr:rowOff>29633</xdr:rowOff>
        </xdr:from>
        <xdr:to>
          <xdr:col>11</xdr:col>
          <xdr:colOff>389467</xdr:colOff>
          <xdr:row>8</xdr:row>
          <xdr:rowOff>135467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29633</xdr:colOff>
          <xdr:row>5</xdr:row>
          <xdr:rowOff>105833</xdr:rowOff>
        </xdr:from>
        <xdr:to>
          <xdr:col>11</xdr:col>
          <xdr:colOff>389467</xdr:colOff>
          <xdr:row>7</xdr:row>
          <xdr:rowOff>21167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29633</xdr:colOff>
          <xdr:row>11</xdr:row>
          <xdr:rowOff>105833</xdr:rowOff>
        </xdr:from>
        <xdr:to>
          <xdr:col>11</xdr:col>
          <xdr:colOff>389467</xdr:colOff>
          <xdr:row>13</xdr:row>
          <xdr:rowOff>21167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38443</xdr:colOff>
      <xdr:row>29</xdr:row>
      <xdr:rowOff>61606</xdr:rowOff>
    </xdr:from>
    <xdr:to>
      <xdr:col>24</xdr:col>
      <xdr:colOff>510235</xdr:colOff>
      <xdr:row>44</xdr:row>
      <xdr:rowOff>32423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612378</xdr:colOff>
      <xdr:row>30</xdr:row>
      <xdr:rowOff>103761</xdr:rowOff>
    </xdr:from>
    <xdr:to>
      <xdr:col>29</xdr:col>
      <xdr:colOff>500510</xdr:colOff>
      <xdr:row>45</xdr:row>
      <xdr:rowOff>74579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521586</xdr:colOff>
      <xdr:row>30</xdr:row>
      <xdr:rowOff>102140</xdr:rowOff>
    </xdr:from>
    <xdr:to>
      <xdr:col>35</xdr:col>
      <xdr:colOff>531313</xdr:colOff>
      <xdr:row>45</xdr:row>
      <xdr:rowOff>72958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43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905500" cy="790194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10</xdr:col>
      <xdr:colOff>0</xdr:colOff>
      <xdr:row>0</xdr:row>
      <xdr:rowOff>114300</xdr:rowOff>
    </xdr:from>
    <xdr:to>
      <xdr:col>19</xdr:col>
      <xdr:colOff>83820</xdr:colOff>
      <xdr:row>43</xdr:row>
      <xdr:rowOff>30480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14300"/>
          <a:ext cx="5570220" cy="778002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G430"/>
  <sheetViews>
    <sheetView tabSelected="1" topLeftCell="K1" zoomScale="94" zoomScaleNormal="94" workbookViewId="0">
      <selection activeCell="G22" sqref="G22"/>
    </sheetView>
  </sheetViews>
  <sheetFormatPr defaultRowHeight="14.35" x14ac:dyDescent="0.5"/>
  <cols>
    <col min="1" max="1" width="11.41015625" customWidth="1"/>
    <col min="2" max="2" width="10" customWidth="1"/>
    <col min="3" max="3" width="4.87890625" bestFit="1" customWidth="1"/>
    <col min="4" max="4" width="9" bestFit="1" customWidth="1"/>
    <col min="5" max="5" width="13.1171875" bestFit="1" customWidth="1"/>
    <col min="8" max="8" width="3.3515625" customWidth="1"/>
    <col min="9" max="9" width="14.76171875" customWidth="1"/>
    <col min="11" max="11" width="11.41015625" customWidth="1"/>
    <col min="12" max="12" width="6.1171875" customWidth="1"/>
    <col min="13" max="13" width="15.76171875" bestFit="1" customWidth="1"/>
    <col min="15" max="15" width="11" customWidth="1"/>
    <col min="17" max="17" width="16.87890625" customWidth="1"/>
    <col min="18" max="18" width="10.76171875" customWidth="1"/>
    <col min="22" max="25" width="9.52734375" customWidth="1"/>
    <col min="27" max="27" width="13.87890625" bestFit="1" customWidth="1"/>
    <col min="29" max="29" width="13.64453125" customWidth="1"/>
  </cols>
  <sheetData>
    <row r="1" spans="1:33" ht="14.7" thickBot="1" x14ac:dyDescent="0.55000000000000004">
      <c r="A1" s="94" t="s">
        <v>45</v>
      </c>
      <c r="B1" s="94"/>
      <c r="C1" s="94"/>
      <c r="D1" s="94"/>
      <c r="E1" s="94"/>
      <c r="F1" s="94"/>
      <c r="G1" s="94"/>
      <c r="H1" s="94"/>
      <c r="I1" s="94"/>
      <c r="J1" s="94"/>
      <c r="M1" s="1"/>
      <c r="N1" s="2" t="s">
        <v>16</v>
      </c>
      <c r="O1" s="2"/>
      <c r="P1" s="2"/>
      <c r="Q1" s="8"/>
      <c r="R1" s="8"/>
      <c r="S1" s="9"/>
      <c r="T1" s="10"/>
      <c r="AA1" t="s">
        <v>115</v>
      </c>
    </row>
    <row r="2" spans="1:33" ht="14.7" thickBot="1" x14ac:dyDescent="0.55000000000000004">
      <c r="A2" s="94" t="s">
        <v>46</v>
      </c>
      <c r="B2" s="94"/>
      <c r="C2" s="94"/>
      <c r="D2" s="94"/>
      <c r="E2" s="94"/>
      <c r="F2" s="94"/>
      <c r="G2" s="94"/>
      <c r="H2" s="94"/>
      <c r="I2" s="94"/>
      <c r="J2" s="94"/>
      <c r="K2" s="97" t="s">
        <v>83</v>
      </c>
      <c r="L2" s="98"/>
      <c r="M2" s="3" t="s">
        <v>120</v>
      </c>
      <c r="N2" s="90" t="s">
        <v>118</v>
      </c>
      <c r="O2">
        <v>2.33</v>
      </c>
      <c r="P2" t="s">
        <v>119</v>
      </c>
      <c r="Q2" t="s">
        <v>125</v>
      </c>
      <c r="S2" s="4"/>
      <c r="AA2" t="s">
        <v>112</v>
      </c>
      <c r="AB2">
        <v>156</v>
      </c>
      <c r="AC2" t="s">
        <v>0</v>
      </c>
    </row>
    <row r="3" spans="1:33" ht="14.7" thickBot="1" x14ac:dyDescent="0.55000000000000004">
      <c r="A3" s="94" t="s">
        <v>47</v>
      </c>
      <c r="B3" s="94"/>
      <c r="C3" s="94"/>
      <c r="D3" s="94"/>
      <c r="E3" s="94"/>
      <c r="F3" s="94"/>
      <c r="G3" s="94"/>
      <c r="H3" s="94"/>
      <c r="I3" s="94"/>
      <c r="J3" s="94"/>
      <c r="K3" s="95" t="s">
        <v>84</v>
      </c>
      <c r="L3" s="96"/>
      <c r="M3" s="3" t="s">
        <v>121</v>
      </c>
      <c r="N3" s="70" t="s">
        <v>17</v>
      </c>
      <c r="O3" s="50">
        <v>131000</v>
      </c>
      <c r="P3" s="10" t="s">
        <v>18</v>
      </c>
      <c r="S3" s="4"/>
      <c r="AA3" t="s">
        <v>107</v>
      </c>
      <c r="AB3">
        <v>180</v>
      </c>
      <c r="AC3" t="s">
        <v>0</v>
      </c>
    </row>
    <row r="4" spans="1:33" x14ac:dyDescent="0.5">
      <c r="A4" s="94" t="s">
        <v>48</v>
      </c>
      <c r="B4" s="94"/>
      <c r="C4" s="94"/>
      <c r="D4" s="94"/>
      <c r="E4" s="94"/>
      <c r="F4" s="94"/>
      <c r="G4" s="94"/>
      <c r="H4" s="94"/>
      <c r="I4" s="94"/>
      <c r="J4" s="94"/>
      <c r="K4" s="59" t="s">
        <v>98</v>
      </c>
      <c r="L4" s="58"/>
      <c r="M4" s="3" t="s">
        <v>100</v>
      </c>
      <c r="N4" s="71" t="s">
        <v>19</v>
      </c>
      <c r="O4" s="51">
        <v>25</v>
      </c>
      <c r="P4" t="s">
        <v>0</v>
      </c>
      <c r="Q4" s="75">
        <f>F18/8</f>
        <v>34.5</v>
      </c>
      <c r="R4" s="76" t="s">
        <v>95</v>
      </c>
      <c r="S4" s="77"/>
      <c r="AC4" t="s">
        <v>113</v>
      </c>
    </row>
    <row r="5" spans="1:33" ht="14.7" thickBot="1" x14ac:dyDescent="0.55000000000000004">
      <c r="A5" s="94" t="s">
        <v>49</v>
      </c>
      <c r="B5" s="94"/>
      <c r="C5" s="94"/>
      <c r="D5" s="94"/>
      <c r="E5" s="94"/>
      <c r="F5" s="94"/>
      <c r="G5" s="94"/>
      <c r="H5" s="94"/>
      <c r="I5" s="94"/>
      <c r="J5" s="94"/>
      <c r="K5" s="99" t="s">
        <v>96</v>
      </c>
      <c r="L5" s="100"/>
      <c r="M5" s="3"/>
      <c r="N5" s="72" t="s">
        <v>20</v>
      </c>
      <c r="O5" s="52">
        <v>10</v>
      </c>
      <c r="P5" t="s">
        <v>0</v>
      </c>
      <c r="Q5" s="78">
        <f>O10/20</f>
        <v>13.8</v>
      </c>
      <c r="R5" s="79" t="s">
        <v>72</v>
      </c>
      <c r="S5" s="80">
        <f>I25/2000</f>
        <v>250.73585295574489</v>
      </c>
      <c r="T5" s="35"/>
      <c r="AA5" t="s">
        <v>108</v>
      </c>
      <c r="AB5">
        <v>23.7</v>
      </c>
      <c r="AC5" t="s">
        <v>111</v>
      </c>
      <c r="AD5" s="87">
        <f>(AB5+(AB6-AB5)/AB3*(AB3-AB2)/2)</f>
        <v>25.013333333333332</v>
      </c>
      <c r="AF5" s="36"/>
      <c r="AG5" s="88"/>
    </row>
    <row r="6" spans="1:33" x14ac:dyDescent="0.5">
      <c r="A6" s="94" t="s">
        <v>50</v>
      </c>
      <c r="B6" s="94"/>
      <c r="C6" s="94"/>
      <c r="D6" s="94"/>
      <c r="E6" s="94"/>
      <c r="F6" s="94"/>
      <c r="G6" s="94"/>
      <c r="H6" s="94"/>
      <c r="I6" s="94"/>
      <c r="J6" s="94"/>
      <c r="M6" s="3" t="s">
        <v>69</v>
      </c>
      <c r="N6" s="73" t="s">
        <v>21</v>
      </c>
      <c r="O6" s="53">
        <v>773.78542772690651</v>
      </c>
      <c r="P6" t="s">
        <v>22</v>
      </c>
      <c r="Q6" s="71">
        <v>0</v>
      </c>
      <c r="R6" s="81" t="s">
        <v>73</v>
      </c>
      <c r="S6" s="82">
        <v>10000</v>
      </c>
      <c r="T6" s="34"/>
      <c r="AA6" t="s">
        <v>109</v>
      </c>
      <c r="AB6">
        <v>43.4</v>
      </c>
      <c r="AC6" t="s">
        <v>110</v>
      </c>
      <c r="AD6" s="87">
        <f>(AB6-(AB6-AB5)/AB3*(AB3-AB2)/2)</f>
        <v>42.086666666666666</v>
      </c>
      <c r="AF6" s="36"/>
      <c r="AG6" s="88"/>
    </row>
    <row r="7" spans="1:33" x14ac:dyDescent="0.5">
      <c r="A7" s="94" t="s">
        <v>90</v>
      </c>
      <c r="B7" s="94"/>
      <c r="C7" s="94"/>
      <c r="D7" s="94"/>
      <c r="E7" s="94"/>
      <c r="F7" s="94"/>
      <c r="G7" s="94"/>
      <c r="H7" s="94"/>
      <c r="I7" s="94"/>
      <c r="J7" s="94"/>
      <c r="M7" s="3" t="s">
        <v>70</v>
      </c>
      <c r="N7" s="73" t="s">
        <v>23</v>
      </c>
      <c r="O7" s="74">
        <f>+O6*O8</f>
        <v>695.79076237280344</v>
      </c>
      <c r="P7" t="s">
        <v>22</v>
      </c>
      <c r="Q7" s="71"/>
      <c r="R7" s="81"/>
      <c r="S7" s="82"/>
      <c r="T7" s="34"/>
      <c r="AA7" t="s">
        <v>25</v>
      </c>
      <c r="AB7">
        <f>(AB6-AB5)/AB5</f>
        <v>0.83122362869198307</v>
      </c>
      <c r="AC7" t="s">
        <v>25</v>
      </c>
      <c r="AD7" s="18">
        <f>(AD6-AD5)/AD5</f>
        <v>0.68256929637526664</v>
      </c>
      <c r="AF7" s="89"/>
    </row>
    <row r="8" spans="1:33" x14ac:dyDescent="0.5">
      <c r="A8" s="94" t="s">
        <v>91</v>
      </c>
      <c r="B8" s="94"/>
      <c r="C8" s="94"/>
      <c r="D8" s="94"/>
      <c r="E8" s="94"/>
      <c r="F8" s="94"/>
      <c r="G8" s="94"/>
      <c r="H8" s="94"/>
      <c r="I8" s="94"/>
      <c r="J8" s="94"/>
      <c r="M8" s="3" t="s">
        <v>103</v>
      </c>
      <c r="N8" s="73" t="s">
        <v>24</v>
      </c>
      <c r="O8" s="53">
        <v>0.89920375525393081</v>
      </c>
      <c r="Q8" s="71">
        <v>0</v>
      </c>
      <c r="R8" s="81" t="s">
        <v>74</v>
      </c>
      <c r="S8" s="82">
        <v>10</v>
      </c>
      <c r="T8" s="34"/>
      <c r="Y8" s="12"/>
    </row>
    <row r="9" spans="1:33" ht="14.7" thickBot="1" x14ac:dyDescent="0.55000000000000004">
      <c r="A9" s="94" t="s">
        <v>92</v>
      </c>
      <c r="B9" s="94"/>
      <c r="C9" s="94"/>
      <c r="D9" s="94"/>
      <c r="E9" s="94"/>
      <c r="F9" s="94"/>
      <c r="G9" s="94"/>
      <c r="H9" s="94"/>
      <c r="I9" s="94"/>
      <c r="M9" s="3" t="s">
        <v>102</v>
      </c>
      <c r="N9" s="73" t="s">
        <v>25</v>
      </c>
      <c r="O9" s="53">
        <v>0.72528766277923928</v>
      </c>
      <c r="P9" s="85"/>
      <c r="Q9" s="72">
        <v>0</v>
      </c>
      <c r="R9" s="83" t="s">
        <v>75</v>
      </c>
      <c r="S9" s="84">
        <v>5</v>
      </c>
      <c r="T9" s="34"/>
      <c r="AA9" t="s">
        <v>112</v>
      </c>
      <c r="AB9">
        <v>156</v>
      </c>
    </row>
    <row r="10" spans="1:33" x14ac:dyDescent="0.5">
      <c r="M10" s="3"/>
      <c r="N10" t="s">
        <v>26</v>
      </c>
      <c r="O10" s="13">
        <f>+F18</f>
        <v>276</v>
      </c>
      <c r="P10" t="s">
        <v>0</v>
      </c>
      <c r="Q10" t="s">
        <v>99</v>
      </c>
      <c r="R10" s="22">
        <f>VLOOKUP(K5,Q11:R12,2,FALSE)</f>
        <v>1</v>
      </c>
      <c r="S10" s="4"/>
      <c r="AA10" t="s">
        <v>107</v>
      </c>
      <c r="AB10">
        <v>180</v>
      </c>
    </row>
    <row r="11" spans="1:33" x14ac:dyDescent="0.5">
      <c r="A11" s="94" t="s">
        <v>51</v>
      </c>
      <c r="B11" s="94"/>
      <c r="C11" s="94"/>
      <c r="D11" s="94"/>
      <c r="E11" s="94"/>
      <c r="F11" s="94"/>
      <c r="G11" s="94"/>
      <c r="H11" s="94"/>
      <c r="I11" s="94"/>
      <c r="J11" s="94"/>
      <c r="M11" s="3" t="s">
        <v>101</v>
      </c>
      <c r="N11" t="s">
        <v>76</v>
      </c>
      <c r="O11" s="21">
        <f>O4*(1+O9)</f>
        <v>43.13219156948098</v>
      </c>
      <c r="P11" t="s">
        <v>0</v>
      </c>
      <c r="Q11" t="s">
        <v>96</v>
      </c>
      <c r="R11" s="22">
        <v>1</v>
      </c>
      <c r="S11" s="4"/>
      <c r="AC11" t="s">
        <v>114</v>
      </c>
    </row>
    <row r="12" spans="1:33" x14ac:dyDescent="0.5">
      <c r="A12" s="94" t="s">
        <v>52</v>
      </c>
      <c r="B12" s="94"/>
      <c r="C12" s="94"/>
      <c r="D12" s="94"/>
      <c r="E12" s="94"/>
      <c r="F12" s="94"/>
      <c r="G12" s="94"/>
      <c r="H12" s="94"/>
      <c r="I12" s="94"/>
      <c r="J12" s="94"/>
      <c r="M12" s="3"/>
      <c r="N12" t="s">
        <v>27</v>
      </c>
      <c r="O12">
        <f>+(O6+O7)/2</f>
        <v>734.78809504985497</v>
      </c>
      <c r="Q12" t="s">
        <v>97</v>
      </c>
      <c r="R12" s="22">
        <v>3</v>
      </c>
      <c r="S12" s="4"/>
      <c r="AA12" t="s">
        <v>108</v>
      </c>
      <c r="AB12" s="21">
        <v>25</v>
      </c>
      <c r="AC12" t="s">
        <v>111</v>
      </c>
      <c r="AD12" s="87">
        <f>AB12-(AB13-AB12)/AB9*(AB10-AB9)/2</f>
        <v>23.687866729536868</v>
      </c>
      <c r="AF12" s="36" t="s">
        <v>111</v>
      </c>
      <c r="AG12" s="88">
        <v>23.7</v>
      </c>
    </row>
    <row r="13" spans="1:33" ht="14.7" thickBot="1" x14ac:dyDescent="0.55000000000000004">
      <c r="A13" s="94" t="s">
        <v>93</v>
      </c>
      <c r="B13" s="94"/>
      <c r="C13" s="94"/>
      <c r="D13" s="94"/>
      <c r="E13" s="94"/>
      <c r="F13" s="94"/>
      <c r="G13" s="94"/>
      <c r="H13" s="94"/>
      <c r="I13" s="94"/>
      <c r="J13" s="94"/>
      <c r="M13" s="3"/>
      <c r="N13" t="s">
        <v>28</v>
      </c>
      <c r="O13">
        <f>+(O6-O7)/O10</f>
        <v>0.2825893672250111</v>
      </c>
      <c r="R13" s="22"/>
      <c r="S13" s="4"/>
      <c r="T13" s="36"/>
      <c r="AA13" t="s">
        <v>109</v>
      </c>
      <c r="AB13" s="21">
        <v>42.057732516020707</v>
      </c>
      <c r="AC13" t="s">
        <v>110</v>
      </c>
      <c r="AD13" s="87">
        <f>AB13+(AB13-AB12)/AB9*(AB10-AB9)/2</f>
        <v>43.369865786483835</v>
      </c>
      <c r="AF13" t="s">
        <v>110</v>
      </c>
      <c r="AG13" s="87">
        <v>43.4</v>
      </c>
    </row>
    <row r="14" spans="1:33" x14ac:dyDescent="0.5">
      <c r="A14" s="94" t="s">
        <v>53</v>
      </c>
      <c r="B14" s="94"/>
      <c r="C14" s="94"/>
      <c r="D14" s="94"/>
      <c r="E14" s="94"/>
      <c r="F14" s="94"/>
      <c r="G14" s="94"/>
      <c r="M14" s="3"/>
      <c r="N14" t="s">
        <v>29</v>
      </c>
      <c r="O14">
        <f>+O3*O5^3*(2*O4+O9*O4)/24</f>
        <v>371888212.31675035</v>
      </c>
      <c r="Q14" s="54" t="s">
        <v>106</v>
      </c>
      <c r="R14" s="60"/>
      <c r="S14" s="61">
        <f>VLOOKUP(K3,Q16:S21,3,FALSE)</f>
        <v>0.23666194107940988</v>
      </c>
      <c r="T14" s="36"/>
      <c r="AA14" t="s">
        <v>25</v>
      </c>
      <c r="AB14" s="18">
        <v>0.35086419788320788</v>
      </c>
      <c r="AC14" s="18" t="s">
        <v>25</v>
      </c>
      <c r="AD14" s="18">
        <f>(AD13-AD12)/AD12</f>
        <v>0.83088947103898958</v>
      </c>
      <c r="AF14" s="89" t="s">
        <v>25</v>
      </c>
      <c r="AG14" s="89">
        <f>(AG13-AG12)/AG12</f>
        <v>0.83122362869198307</v>
      </c>
    </row>
    <row r="15" spans="1:33" x14ac:dyDescent="0.5">
      <c r="A15" s="94" t="s">
        <v>54</v>
      </c>
      <c r="B15" s="94"/>
      <c r="C15" s="94"/>
      <c r="D15" s="94"/>
      <c r="E15" s="94"/>
      <c r="F15" s="94"/>
      <c r="G15" s="94"/>
      <c r="H15" s="94"/>
      <c r="I15" s="94"/>
      <c r="M15" s="3"/>
      <c r="N15" t="s">
        <v>30</v>
      </c>
      <c r="O15">
        <f>+O3*O5^3*O9*O4/(12*O10)</f>
        <v>717185.11340640357</v>
      </c>
      <c r="Q15" s="55"/>
      <c r="R15" s="62"/>
      <c r="S15" s="63"/>
      <c r="T15" s="36"/>
    </row>
    <row r="16" spans="1:33" x14ac:dyDescent="0.5">
      <c r="A16" s="94" t="s">
        <v>55</v>
      </c>
      <c r="B16" s="94"/>
      <c r="C16" s="94"/>
      <c r="D16" s="94"/>
      <c r="E16" s="94"/>
      <c r="F16" s="94"/>
      <c r="G16" s="94"/>
      <c r="H16" s="94"/>
      <c r="K16" s="18"/>
      <c r="M16" s="3"/>
      <c r="N16" t="s">
        <v>31</v>
      </c>
      <c r="O16">
        <f>IF(O9=0,O13*O10^2/24/O14,+(O18*(O20/O15*O22-O19/O15*O21+O10))/O10)</f>
        <v>-2.4235667355664101E-2</v>
      </c>
      <c r="Q16" s="56" t="s">
        <v>85</v>
      </c>
      <c r="R16" s="64" t="s">
        <v>44</v>
      </c>
      <c r="S16" s="65">
        <f>SQRT(SUMSQ(INDEX(R30:R430,L18):INDEX(R30:R430,L19))/(L19-L18+1))</f>
        <v>7.7371022540963619</v>
      </c>
    </row>
    <row r="17" spans="1:33" ht="14.7" thickBot="1" x14ac:dyDescent="0.55000000000000004">
      <c r="M17" s="3"/>
      <c r="N17" t="s">
        <v>32</v>
      </c>
      <c r="O17">
        <f>IF(O9=0,-O12*O10^2/8/O14,-(O18*(O20/O15*O22+O19/O15*O21)-O13*O10^2/(4*O15))/2)</f>
        <v>-12.593906085462235</v>
      </c>
      <c r="Q17" s="56" t="s">
        <v>86</v>
      </c>
      <c r="R17" s="64" t="s">
        <v>44</v>
      </c>
      <c r="S17" s="65">
        <f>STDEV(INDEX(R30:R430,L18):INDEX(R30:R430,L19))</f>
        <v>7.466770120655835</v>
      </c>
      <c r="T17" s="37"/>
      <c r="AA17" t="s">
        <v>116</v>
      </c>
    </row>
    <row r="18" spans="1:33" ht="14.7" thickBot="1" x14ac:dyDescent="0.55000000000000004">
      <c r="A18" s="68" t="s">
        <v>56</v>
      </c>
      <c r="B18" s="69"/>
      <c r="C18" s="69"/>
      <c r="D18" s="69"/>
      <c r="E18" s="69"/>
      <c r="F18" s="45">
        <v>276</v>
      </c>
      <c r="G18" s="69" t="s">
        <v>0</v>
      </c>
      <c r="H18" s="69" t="s">
        <v>66</v>
      </c>
      <c r="I18" s="69"/>
      <c r="J18" s="46">
        <v>240</v>
      </c>
      <c r="K18" t="s">
        <v>67</v>
      </c>
      <c r="L18">
        <f>CEILING(($F$18-$J$18)/2/$F$19+1,1)</f>
        <v>28</v>
      </c>
      <c r="M18" s="3"/>
      <c r="N18" t="s">
        <v>33</v>
      </c>
      <c r="O18">
        <f>(O12*O15+O13*O14)/O15^2</f>
        <v>1.2288621057719158E-3</v>
      </c>
      <c r="Q18" s="56" t="s">
        <v>87</v>
      </c>
      <c r="R18" s="64" t="s">
        <v>44</v>
      </c>
      <c r="S18" s="65">
        <f>MAX(INDEX(R30:R430,L18):INDEX(R30:R430,L19))-MIN(INDEX(R30:R430,L18):INDEX(R30:R430,L19))</f>
        <v>24.209342269017498</v>
      </c>
      <c r="T18" s="36"/>
      <c r="AA18" t="s">
        <v>112</v>
      </c>
      <c r="AB18">
        <v>276</v>
      </c>
      <c r="AC18" t="s">
        <v>0</v>
      </c>
    </row>
    <row r="19" spans="1:33" ht="14.7" thickBot="1" x14ac:dyDescent="0.55000000000000004">
      <c r="A19" s="14" t="s">
        <v>57</v>
      </c>
      <c r="F19">
        <f>+F18/400</f>
        <v>0.69</v>
      </c>
      <c r="G19" t="s">
        <v>0</v>
      </c>
      <c r="K19" t="s">
        <v>68</v>
      </c>
      <c r="L19">
        <f>FLOOR(($F$18-($F$18-$J$18)/2)/$F$19+1,1)</f>
        <v>374</v>
      </c>
      <c r="M19" s="3"/>
      <c r="N19" t="s">
        <v>34</v>
      </c>
      <c r="O19">
        <f>+O14+O15*O10/2</f>
        <v>470859757.96683407</v>
      </c>
      <c r="Q19" s="56" t="s">
        <v>84</v>
      </c>
      <c r="R19" s="64" t="s">
        <v>43</v>
      </c>
      <c r="S19" s="65">
        <f>SQRT(SUMSQ(INDEX(Q30:Q430,L18):INDEX(Q30:Q430,L19))/(L19-L18+1))</f>
        <v>0.23666194107940988</v>
      </c>
      <c r="T19" s="38"/>
      <c r="AA19" t="s">
        <v>107</v>
      </c>
      <c r="AB19">
        <v>300</v>
      </c>
      <c r="AC19" t="s">
        <v>0</v>
      </c>
    </row>
    <row r="20" spans="1:33" ht="14.7" thickBot="1" x14ac:dyDescent="0.55000000000000004">
      <c r="A20" s="69" t="s">
        <v>117</v>
      </c>
      <c r="B20" s="101" t="s">
        <v>126</v>
      </c>
      <c r="M20" s="3"/>
      <c r="N20" t="s">
        <v>35</v>
      </c>
      <c r="O20">
        <f>+O14-O15*O10/2</f>
        <v>272916666.66666663</v>
      </c>
      <c r="Q20" s="56" t="s">
        <v>88</v>
      </c>
      <c r="R20" s="64" t="s">
        <v>43</v>
      </c>
      <c r="S20" s="65">
        <f>STDEV(INDEX(Q30:Q430,L18):INDEX(Q30:Q430,L19))</f>
        <v>0.23161400511425703</v>
      </c>
      <c r="T20" s="38"/>
      <c r="AC20" t="s">
        <v>113</v>
      </c>
    </row>
    <row r="21" spans="1:33" ht="14.7" thickBot="1" x14ac:dyDescent="0.55000000000000004">
      <c r="M21" s="3"/>
      <c r="N21" t="s">
        <v>36</v>
      </c>
      <c r="O21">
        <f>LN(O19)</f>
        <v>19.970070853857319</v>
      </c>
      <c r="Q21" s="57" t="s">
        <v>89</v>
      </c>
      <c r="R21" s="66" t="s">
        <v>43</v>
      </c>
      <c r="S21" s="67">
        <f>MAX(INDEX(Q30:Q430,L18):INDEX(Q30:Q430,L19))-MIN(INDEX(Q30:Q430,L18):INDEX(Q30:Q430,L19))</f>
        <v>0.77684320299731269</v>
      </c>
      <c r="T21" s="36"/>
      <c r="AA21" t="s">
        <v>108</v>
      </c>
      <c r="AB21">
        <v>24.2</v>
      </c>
      <c r="AC21" t="s">
        <v>111</v>
      </c>
      <c r="AD21" s="87">
        <f>(AB21+(AB22-AB21)/AB19*(AB19-AB18)/2)</f>
        <v>24.988</v>
      </c>
      <c r="AF21" s="36"/>
      <c r="AG21" s="88"/>
    </row>
    <row r="22" spans="1:33" ht="14.7" thickBot="1" x14ac:dyDescent="0.55000000000000004">
      <c r="M22" s="3"/>
      <c r="N22" t="s">
        <v>37</v>
      </c>
      <c r="O22">
        <f>LN(O20)</f>
        <v>19.424677056245628</v>
      </c>
      <c r="S22" s="4"/>
      <c r="T22" s="37"/>
      <c r="AA22" t="s">
        <v>109</v>
      </c>
      <c r="AB22">
        <v>43.9</v>
      </c>
      <c r="AC22" t="s">
        <v>110</v>
      </c>
      <c r="AD22" s="87">
        <f>(AB22-(AB22-AB21)/AB19*(AB19-AB18)/2)</f>
        <v>43.112000000000002</v>
      </c>
      <c r="AF22" s="36"/>
      <c r="AG22" s="88"/>
    </row>
    <row r="23" spans="1:33" x14ac:dyDescent="0.5">
      <c r="A23" s="1"/>
      <c r="B23" s="2"/>
      <c r="C23" s="2"/>
      <c r="D23" s="11"/>
      <c r="E23" s="22" t="s">
        <v>123</v>
      </c>
      <c r="F23" s="1"/>
      <c r="G23" s="11"/>
      <c r="I23" s="1" t="s">
        <v>42</v>
      </c>
      <c r="J23" s="2"/>
      <c r="K23" s="44">
        <f>K25</f>
        <v>602.31040920183909</v>
      </c>
      <c r="M23" s="3"/>
      <c r="N23" t="s">
        <v>38</v>
      </c>
      <c r="O23">
        <f>+O4*O5^3/12</f>
        <v>2083.3333333333335</v>
      </c>
      <c r="P23" t="s">
        <v>39</v>
      </c>
      <c r="S23" s="4"/>
      <c r="T23" s="36"/>
      <c r="AA23" t="s">
        <v>25</v>
      </c>
      <c r="AB23">
        <f>(AB22-AB21)/AB21</f>
        <v>0.81404958677685946</v>
      </c>
      <c r="AC23" t="s">
        <v>25</v>
      </c>
      <c r="AD23" s="18">
        <f>(AD22-AD21)/AD21</f>
        <v>0.7253081479109974</v>
      </c>
      <c r="AF23" s="89"/>
      <c r="AG23" s="89"/>
    </row>
    <row r="24" spans="1:33" x14ac:dyDescent="0.5">
      <c r="A24" s="3"/>
      <c r="D24" s="4"/>
      <c r="E24" s="22" t="s">
        <v>124</v>
      </c>
      <c r="F24" s="3"/>
      <c r="G24" s="4"/>
      <c r="I24" s="43" t="s">
        <v>71</v>
      </c>
      <c r="J24" s="39" t="s">
        <v>77</v>
      </c>
      <c r="K24" s="40" t="s">
        <v>78</v>
      </c>
      <c r="M24" s="3"/>
      <c r="N24" t="s">
        <v>122</v>
      </c>
      <c r="O24">
        <f>+(O4+O11)/2*O5^3/12</f>
        <v>2838.841315395041</v>
      </c>
      <c r="P24" t="s">
        <v>39</v>
      </c>
      <c r="S24" s="4"/>
    </row>
    <row r="25" spans="1:33" x14ac:dyDescent="0.5">
      <c r="A25" s="14" t="s">
        <v>58</v>
      </c>
      <c r="D25" s="4"/>
      <c r="E25" s="91">
        <f>(O4+O11)/2*O5*O2*0.0000098</f>
        <v>7.7786523114876435E-3</v>
      </c>
      <c r="F25" s="28" t="s">
        <v>60</v>
      </c>
      <c r="G25" s="29" t="s">
        <v>60</v>
      </c>
      <c r="H25" s="22"/>
      <c r="I25" s="86">
        <v>501471.70591148979</v>
      </c>
      <c r="J25" s="41">
        <f>SQRT(SUMSQ(INDEX(J30:J430,L18):INDEX(J30:J430,L19))/(L19-L18+1))*1000</f>
        <v>611.98184333152039</v>
      </c>
      <c r="K25" s="42">
        <f>STDEV(INDEX(J30:J430,L18):INDEX(J30:J430,L19))*1000</f>
        <v>602.31040920183909</v>
      </c>
      <c r="M25" s="3"/>
      <c r="O25" s="22" t="s">
        <v>79</v>
      </c>
      <c r="P25" s="22" t="s">
        <v>79</v>
      </c>
      <c r="Q25" s="22" t="s">
        <v>80</v>
      </c>
      <c r="R25" s="22" t="s">
        <v>80</v>
      </c>
      <c r="S25" s="33" t="s">
        <v>79</v>
      </c>
      <c r="AA25" t="s">
        <v>112</v>
      </c>
      <c r="AB25">
        <v>276</v>
      </c>
    </row>
    <row r="26" spans="1:33" x14ac:dyDescent="0.5">
      <c r="A26" s="14" t="s">
        <v>59</v>
      </c>
      <c r="D26" s="4"/>
      <c r="E26" s="93" t="s">
        <v>117</v>
      </c>
      <c r="F26" s="28" t="s">
        <v>61</v>
      </c>
      <c r="G26" s="29" t="s">
        <v>62</v>
      </c>
      <c r="H26" s="22"/>
      <c r="I26" s="30" t="s">
        <v>61</v>
      </c>
      <c r="J26" s="31" t="s">
        <v>63</v>
      </c>
      <c r="K26" s="32" t="s">
        <v>62</v>
      </c>
      <c r="M26" s="3"/>
      <c r="O26" s="22" t="s">
        <v>80</v>
      </c>
      <c r="P26" s="22" t="s">
        <v>80</v>
      </c>
      <c r="Q26" s="22" t="s">
        <v>81</v>
      </c>
      <c r="R26" s="22" t="s">
        <v>82</v>
      </c>
      <c r="S26" s="33" t="s">
        <v>80</v>
      </c>
      <c r="AA26" t="s">
        <v>107</v>
      </c>
      <c r="AB26">
        <v>300</v>
      </c>
    </row>
    <row r="27" spans="1:33" ht="14.7" thickBot="1" x14ac:dyDescent="0.55000000000000004">
      <c r="A27" s="3"/>
      <c r="D27" s="4"/>
      <c r="F27" s="3"/>
      <c r="G27" s="4"/>
      <c r="I27" s="15"/>
      <c r="J27" s="16" t="s">
        <v>64</v>
      </c>
      <c r="K27" s="17"/>
      <c r="M27" s="3"/>
      <c r="N27" s="22" t="s">
        <v>94</v>
      </c>
      <c r="O27" s="22" t="s">
        <v>81</v>
      </c>
      <c r="P27" s="22" t="s">
        <v>82</v>
      </c>
      <c r="Q27" s="22" t="s">
        <v>64</v>
      </c>
      <c r="R27" s="22" t="s">
        <v>64</v>
      </c>
      <c r="S27" s="33" t="s">
        <v>104</v>
      </c>
      <c r="AC27" t="s">
        <v>114</v>
      </c>
    </row>
    <row r="28" spans="1:33" s="22" customFormat="1" x14ac:dyDescent="0.5">
      <c r="A28" s="70" t="s">
        <v>65</v>
      </c>
      <c r="B28" s="47">
        <v>2.5</v>
      </c>
      <c r="C28" s="22" t="s">
        <v>0</v>
      </c>
      <c r="D28" s="33" t="s">
        <v>40</v>
      </c>
      <c r="E28" s="22" t="s">
        <v>40</v>
      </c>
      <c r="F28" s="27" t="s">
        <v>40</v>
      </c>
      <c r="G28" s="33" t="s">
        <v>41</v>
      </c>
      <c r="I28" s="27" t="s">
        <v>40</v>
      </c>
      <c r="J28" s="22" t="s">
        <v>40</v>
      </c>
      <c r="K28" s="33" t="s">
        <v>44</v>
      </c>
      <c r="M28" s="27" t="s">
        <v>0</v>
      </c>
      <c r="N28" s="22" t="s">
        <v>0</v>
      </c>
      <c r="O28" s="22" t="s">
        <v>40</v>
      </c>
      <c r="P28" s="22" t="s">
        <v>41</v>
      </c>
      <c r="Q28" s="22" t="s">
        <v>43</v>
      </c>
      <c r="R28" s="22" t="s">
        <v>44</v>
      </c>
      <c r="S28" s="33" t="s">
        <v>105</v>
      </c>
      <c r="Z28"/>
      <c r="AA28" t="s">
        <v>108</v>
      </c>
      <c r="AB28" s="21">
        <v>25</v>
      </c>
      <c r="AC28" t="s">
        <v>111</v>
      </c>
      <c r="AD28" s="87">
        <f>AB28-(AB29-AB28)/AB25*(AB26-AB25)/2</f>
        <v>24.212007839525683</v>
      </c>
      <c r="AF28" s="36" t="s">
        <v>108</v>
      </c>
      <c r="AG28" s="88">
        <v>24.2</v>
      </c>
    </row>
    <row r="29" spans="1:33" x14ac:dyDescent="0.5">
      <c r="A29" s="71" t="s">
        <v>12</v>
      </c>
      <c r="B29" s="48">
        <v>55660</v>
      </c>
      <c r="D29" s="4"/>
      <c r="F29" s="3"/>
      <c r="G29" s="4"/>
      <c r="I29" s="3"/>
      <c r="K29" s="4"/>
      <c r="M29" s="3"/>
      <c r="Q29" s="19"/>
      <c r="S29" s="4"/>
      <c r="AA29" t="s">
        <v>109</v>
      </c>
      <c r="AB29" s="21">
        <v>43.123819690909286</v>
      </c>
      <c r="AC29" t="s">
        <v>110</v>
      </c>
      <c r="AD29" s="87">
        <f>AB29+(AB29-AB28)/AB25*(AB26-AB25)/2</f>
        <v>43.911811851383604</v>
      </c>
      <c r="AF29" s="36" t="s">
        <v>109</v>
      </c>
      <c r="AG29" s="88">
        <v>43.9</v>
      </c>
    </row>
    <row r="30" spans="1:33" ht="14.7" thickBot="1" x14ac:dyDescent="0.55000000000000004">
      <c r="A30" s="72" t="s">
        <v>13</v>
      </c>
      <c r="B30" s="49">
        <v>640</v>
      </c>
      <c r="C30">
        <f>-F18/2</f>
        <v>-138</v>
      </c>
      <c r="D30" s="23">
        <f t="shared" ref="D30:D93" si="0">+($B$35*C30^2+$B$36*C30^3+$B$37*C30^4+$B$38*C30^5+$B$39*C30^6+$B$40*C30^7+$B$41*C30^8+$B$42*C30^9+$B$43*C30^10)*1000</f>
        <v>21.134419536892473</v>
      </c>
      <c r="E30" s="92">
        <f>IF($B$20="YES",($E$25*$F$18^2/16/$O$3/$O$24*C30^2-$E$25/24/$O$3/$O$24*C30^4)*1000,0)</f>
        <v>0</v>
      </c>
      <c r="F30" s="3">
        <f>+D30-$D$30+($F$18/2+C30)/$F$18*($D$30-D$430)+E30-MAX($E$30,$E$430)</f>
        <v>0</v>
      </c>
      <c r="G30" s="4">
        <f t="shared" ref="G30:G93" si="1">+ATAN((F30-F31)/(1000*$F$19))*1000000</f>
        <v>310.04831421946784</v>
      </c>
      <c r="I30" s="25">
        <f t="shared" ref="I30:I93" si="2">(+I$25-(I$25^2-C30^2)^0.5)*1000-(+I$25-(I$25^2-C$30^2)^0.5)*1000</f>
        <v>0</v>
      </c>
      <c r="J30">
        <f t="shared" ref="J30:J93" si="3">+(I30-F30)</f>
        <v>0</v>
      </c>
      <c r="K30" s="4">
        <f t="shared" ref="K30:K93" si="4">+ATAN((I30-I31)/(1000*$F$19))*1000000</f>
        <v>274.50200736069479</v>
      </c>
      <c r="M30" s="3">
        <f>+F18</f>
        <v>276</v>
      </c>
      <c r="N30">
        <f>-F18/2</f>
        <v>-138</v>
      </c>
      <c r="O30">
        <f>IF($O$9=0,(-$O$13*N30^3/6/$O$14+$O$12*N30^2/2/$O$14+$O$16*N30+$O$17)*1000,($O$18*(($O$14+$O$15*N30)/$O$15*LN($O$14+$O$15*N30)-N30)-$O$13*N30^2/(2*$O$15)+$O$16*N30+$O$17)*1000)</f>
        <v>-1.7763568394002505E-12</v>
      </c>
      <c r="P30">
        <f t="shared" ref="P30:P93" si="5">+ATAN((O30-O31)/(1000*$F$19))*1000000</f>
        <v>310.06476114709125</v>
      </c>
      <c r="Q30">
        <f>+(O30-F30)*1000</f>
        <v>-1.7763568394002505E-9</v>
      </c>
      <c r="R30">
        <f>+(P30-(G30))*1000</f>
        <v>16.446927623405827</v>
      </c>
      <c r="S30" s="4">
        <f>ABS(1000/((P31-P30)/(N31-N30)))</f>
        <v>353.43169495400053</v>
      </c>
      <c r="AA30" t="s">
        <v>25</v>
      </c>
      <c r="AB30" s="18">
        <f>(AB29-AB28)/AB28</f>
        <v>0.7249527876363715</v>
      </c>
      <c r="AC30" s="18" t="s">
        <v>25</v>
      </c>
      <c r="AD30" s="18">
        <f>(AD29-AD28)/AD28</f>
        <v>0.81363776777315977</v>
      </c>
      <c r="AF30" s="36" t="s">
        <v>25</v>
      </c>
      <c r="AG30" s="36">
        <f>(AG29-AG28)/AG28</f>
        <v>0.81404958677685946</v>
      </c>
    </row>
    <row r="31" spans="1:33" x14ac:dyDescent="0.5">
      <c r="A31" s="3" t="s">
        <v>10</v>
      </c>
      <c r="B31" s="20">
        <f>90-(B28/1000*180/PI())</f>
        <v>89.856760551217292</v>
      </c>
      <c r="C31">
        <f t="shared" ref="C31:C94" si="6">+C30+$F$19</f>
        <v>-137.31</v>
      </c>
      <c r="D31" s="23">
        <f t="shared" si="0"/>
        <v>20.910253267886361</v>
      </c>
      <c r="E31" s="92">
        <f t="shared" ref="E31:E94" si="7">IF($B$20="YES",($E$25*$F$18^2/16/$O$3/$O$24*C31^2-$E$25/24/$O$3/$O$24*C31^4)*1000,0)</f>
        <v>0</v>
      </c>
      <c r="F31" s="3">
        <f t="shared" ref="F31:F94" si="8">+D31-$D$30+($F$18/2+C31)/$F$18*($D$30-D$430)+E31-MAX($E$30,$E$430)</f>
        <v>-0.21393334366656722</v>
      </c>
      <c r="G31" s="4">
        <f t="shared" si="1"/>
        <v>308.09731665238053</v>
      </c>
      <c r="I31" s="25">
        <f t="shared" si="2"/>
        <v>-0.18940638983622193</v>
      </c>
      <c r="J31">
        <f t="shared" si="3"/>
        <v>2.4526953830345283E-2</v>
      </c>
      <c r="K31" s="4">
        <f t="shared" si="4"/>
        <v>273.12611333414327</v>
      </c>
      <c r="M31" s="3">
        <f t="shared" ref="M31:M94" si="9">+M30-$F$19</f>
        <v>275.31</v>
      </c>
      <c r="N31">
        <f t="shared" ref="N31:N94" si="10">+N30+$F$19</f>
        <v>-137.31</v>
      </c>
      <c r="O31">
        <f t="shared" ref="O31:O94" si="11">IF($O$9=0,(-$O$13*N31^3/6/$O$14+$O$12*N31^2/2/$O$14+$O$16*N31+$O$17)*1000,($O$18*(($O$14+$O$15*N31)/$O$15*LN($O$14+$O$15*N31)-N31)-$O$13*N31^2/(2*$O$15)+$O$16*N31+$O$17)*1000)</f>
        <v>-0.21394469204949473</v>
      </c>
      <c r="P31">
        <f t="shared" si="5"/>
        <v>308.11247443978334</v>
      </c>
      <c r="Q31">
        <f t="shared" ref="Q31:Q94" si="12">+(O31-F31)*1000</f>
        <v>-1.1348382927517386E-2</v>
      </c>
      <c r="R31">
        <f t="shared" ref="R31:R94" si="13">+(P31-(G31))*1000</f>
        <v>15.157787402813483</v>
      </c>
      <c r="S31" s="4">
        <f t="shared" ref="S31:S94" si="14">ABS(1000/((P32-P31)/(N32-N31)))</f>
        <v>354.1606517134307</v>
      </c>
    </row>
    <row r="32" spans="1:33" x14ac:dyDescent="0.5">
      <c r="A32" s="3" t="s">
        <v>11</v>
      </c>
      <c r="B32">
        <f>+B31*PI()/180</f>
        <v>1.5682963267948966</v>
      </c>
      <c r="C32">
        <f t="shared" si="6"/>
        <v>-136.62</v>
      </c>
      <c r="D32" s="23">
        <f t="shared" si="0"/>
        <v>20.687433187330136</v>
      </c>
      <c r="E32" s="92">
        <f t="shared" si="7"/>
        <v>0</v>
      </c>
      <c r="F32" s="3">
        <f t="shared" si="8"/>
        <v>-0.42652049888324778</v>
      </c>
      <c r="G32" s="4">
        <f t="shared" si="1"/>
        <v>306.150292770649</v>
      </c>
      <c r="I32" s="25">
        <f t="shared" si="2"/>
        <v>-0.37786341272294521</v>
      </c>
      <c r="J32">
        <f t="shared" si="3"/>
        <v>4.8657086160302565E-2</v>
      </c>
      <c r="K32" s="4">
        <f t="shared" si="4"/>
        <v>271.75013494763499</v>
      </c>
      <c r="M32" s="3">
        <f t="shared" si="9"/>
        <v>274.62</v>
      </c>
      <c r="N32">
        <f t="shared" si="10"/>
        <v>-136.62</v>
      </c>
      <c r="O32">
        <f t="shared" si="11"/>
        <v>-0.42654230614047606</v>
      </c>
      <c r="P32">
        <f t="shared" si="5"/>
        <v>306.16420605744958</v>
      </c>
      <c r="Q32">
        <f t="shared" si="12"/>
        <v>-2.1807257228279031E-2</v>
      </c>
      <c r="R32">
        <f t="shared" si="13"/>
        <v>13.913286800573132</v>
      </c>
      <c r="S32" s="4">
        <f t="shared" si="14"/>
        <v>354.88997648342581</v>
      </c>
    </row>
    <row r="33" spans="1:19" x14ac:dyDescent="0.5">
      <c r="A33" s="3" t="s">
        <v>14</v>
      </c>
      <c r="B33">
        <f>+SIN(B32)*(1/B29-1/B30)</f>
        <v>-1.544528949834642E-3</v>
      </c>
      <c r="C33">
        <f t="shared" si="6"/>
        <v>-135.93</v>
      </c>
      <c r="D33" s="23">
        <f t="shared" si="0"/>
        <v>20.465956553379026</v>
      </c>
      <c r="E33" s="92">
        <f t="shared" si="7"/>
        <v>0</v>
      </c>
      <c r="F33" s="3">
        <f t="shared" si="8"/>
        <v>-0.63776420749481255</v>
      </c>
      <c r="G33" s="4">
        <f t="shared" si="1"/>
        <v>304.20722901421288</v>
      </c>
      <c r="I33" s="25">
        <f t="shared" si="2"/>
        <v>-0.56537101045250893</v>
      </c>
      <c r="J33">
        <f t="shared" si="3"/>
        <v>7.2393197042303625E-2</v>
      </c>
      <c r="K33" s="4">
        <f t="shared" si="4"/>
        <v>270.37415656009779</v>
      </c>
      <c r="M33" s="3">
        <f t="shared" si="9"/>
        <v>273.93</v>
      </c>
      <c r="N33">
        <f t="shared" si="10"/>
        <v>-135.93</v>
      </c>
      <c r="O33">
        <f t="shared" si="11"/>
        <v>-0.63779561492083303</v>
      </c>
      <c r="P33">
        <f t="shared" si="5"/>
        <v>304.21994150865294</v>
      </c>
      <c r="Q33">
        <f t="shared" si="12"/>
        <v>-3.1407426020479967E-2</v>
      </c>
      <c r="R33">
        <f t="shared" si="13"/>
        <v>12.712494440052069</v>
      </c>
      <c r="S33" s="4">
        <f t="shared" si="14"/>
        <v>355.61966935621717</v>
      </c>
    </row>
    <row r="34" spans="1:19" x14ac:dyDescent="0.5">
      <c r="A34" s="3" t="s">
        <v>15</v>
      </c>
      <c r="B34">
        <f>1/(B29*B30)</f>
        <v>2.8072224218469279E-8</v>
      </c>
      <c r="C34">
        <f t="shared" si="6"/>
        <v>-135.24</v>
      </c>
      <c r="D34" s="23">
        <f t="shared" si="0"/>
        <v>20.245820633544724</v>
      </c>
      <c r="E34" s="92">
        <f t="shared" si="7"/>
        <v>0</v>
      </c>
      <c r="F34" s="3">
        <f t="shared" si="8"/>
        <v>-0.8476672019895698</v>
      </c>
      <c r="G34" s="4">
        <f t="shared" si="1"/>
        <v>302.26811188742994</v>
      </c>
      <c r="I34" s="25">
        <f t="shared" si="2"/>
        <v>-0.75192918302491307</v>
      </c>
      <c r="J34">
        <f t="shared" si="3"/>
        <v>9.5738018964656724E-2</v>
      </c>
      <c r="K34" s="4">
        <f t="shared" si="4"/>
        <v>268.99817817153678</v>
      </c>
      <c r="M34" s="3">
        <f t="shared" si="9"/>
        <v>273.24</v>
      </c>
      <c r="N34">
        <f t="shared" si="10"/>
        <v>-135.24</v>
      </c>
      <c r="O34">
        <f t="shared" si="11"/>
        <v>-0.84770738103756571</v>
      </c>
      <c r="P34">
        <f t="shared" si="5"/>
        <v>302.27966637918917</v>
      </c>
      <c r="Q34">
        <f t="shared" si="12"/>
        <v>-4.0179047995914097E-2</v>
      </c>
      <c r="R34">
        <f t="shared" si="13"/>
        <v>11.554491759227403</v>
      </c>
      <c r="S34" s="4">
        <f t="shared" si="14"/>
        <v>356.3497305246425</v>
      </c>
    </row>
    <row r="35" spans="1:19" x14ac:dyDescent="0.5">
      <c r="A35" s="3" t="s">
        <v>1</v>
      </c>
      <c r="B35">
        <f>+COS(B32)*(1/B29+1/B30)/4</f>
        <v>9.8779036073834831E-7</v>
      </c>
      <c r="C35">
        <f t="shared" si="6"/>
        <v>-134.55000000000001</v>
      </c>
      <c r="D35" s="23">
        <f t="shared" si="0"/>
        <v>20.027022704650935</v>
      </c>
      <c r="E35" s="92">
        <f t="shared" si="7"/>
        <v>0</v>
      </c>
      <c r="F35" s="3">
        <f t="shared" si="8"/>
        <v>-1.056232205543814</v>
      </c>
      <c r="G35" s="4">
        <f t="shared" si="1"/>
        <v>300.33292795874979</v>
      </c>
      <c r="I35" s="25">
        <f t="shared" si="2"/>
        <v>-0.93753793044015765</v>
      </c>
      <c r="J35">
        <f t="shared" si="3"/>
        <v>0.11869427510365638</v>
      </c>
      <c r="K35" s="4">
        <f t="shared" si="4"/>
        <v>267.62236849980269</v>
      </c>
      <c r="M35" s="3">
        <f t="shared" si="9"/>
        <v>272.55</v>
      </c>
      <c r="N35">
        <f t="shared" si="10"/>
        <v>-134.55000000000001</v>
      </c>
      <c r="O35">
        <f t="shared" si="11"/>
        <v>-1.0562803571918522</v>
      </c>
      <c r="P35">
        <f t="shared" si="5"/>
        <v>300.34336633208619</v>
      </c>
      <c r="Q35">
        <f t="shared" si="12"/>
        <v>-4.8151648038174955E-2</v>
      </c>
      <c r="R35">
        <f t="shared" si="13"/>
        <v>10.438373336398854</v>
      </c>
      <c r="S35" s="4">
        <f t="shared" si="14"/>
        <v>357.08015980785478</v>
      </c>
    </row>
    <row r="36" spans="1:19" x14ac:dyDescent="0.5">
      <c r="A36" s="3" t="s">
        <v>2</v>
      </c>
      <c r="B36">
        <f>+B35*B33/2</f>
        <v>-7.6283540426399168E-10</v>
      </c>
      <c r="C36">
        <f t="shared" si="6"/>
        <v>-133.86000000000001</v>
      </c>
      <c r="D36" s="23">
        <f t="shared" si="0"/>
        <v>19.809560052789156</v>
      </c>
      <c r="E36" s="92">
        <f t="shared" si="7"/>
        <v>0</v>
      </c>
      <c r="F36" s="3">
        <f t="shared" si="8"/>
        <v>-1.2634619320660494</v>
      </c>
      <c r="G36" s="4">
        <f t="shared" si="1"/>
        <v>298.40166386032314</v>
      </c>
      <c r="I36" s="25">
        <f t="shared" si="2"/>
        <v>-1.1221973691135645</v>
      </c>
      <c r="J36">
        <f t="shared" si="3"/>
        <v>0.14126456295248491</v>
      </c>
      <c r="K36" s="4">
        <f t="shared" si="4"/>
        <v>266.24630575028692</v>
      </c>
      <c r="M36" s="3">
        <f t="shared" si="9"/>
        <v>271.86</v>
      </c>
      <c r="N36">
        <f t="shared" si="10"/>
        <v>-133.86000000000001</v>
      </c>
      <c r="O36">
        <f t="shared" si="11"/>
        <v>-1.2635172861923394</v>
      </c>
      <c r="P36">
        <f t="shared" si="5"/>
        <v>298.4110271050306</v>
      </c>
      <c r="Q36">
        <f t="shared" si="12"/>
        <v>-5.5354126289985928E-2</v>
      </c>
      <c r="R36">
        <f t="shared" si="13"/>
        <v>9.3632447074583069</v>
      </c>
      <c r="S36" s="4">
        <f t="shared" si="14"/>
        <v>357.81095759781726</v>
      </c>
    </row>
    <row r="37" spans="1:19" x14ac:dyDescent="0.5">
      <c r="A37" s="3" t="s">
        <v>3</v>
      </c>
      <c r="B37">
        <f>+B35*(5*B33^2/16+B34/4)</f>
        <v>7.4332072177471467E-13</v>
      </c>
      <c r="C37">
        <f t="shared" si="6"/>
        <v>-133.17000000000002</v>
      </c>
      <c r="D37" s="23">
        <f t="shared" si="0"/>
        <v>19.593429973274716</v>
      </c>
      <c r="E37" s="92">
        <f t="shared" si="7"/>
        <v>0</v>
      </c>
      <c r="F37" s="3">
        <f t="shared" si="8"/>
        <v>-1.4693590862409438</v>
      </c>
      <c r="G37" s="4">
        <f t="shared" si="1"/>
        <v>296.47430628761748</v>
      </c>
      <c r="I37" s="25">
        <f t="shared" si="2"/>
        <v>-1.3059073244221509</v>
      </c>
      <c r="J37">
        <f t="shared" si="3"/>
        <v>0.16345176181879295</v>
      </c>
      <c r="K37" s="4">
        <f t="shared" si="4"/>
        <v>264.87032735868576</v>
      </c>
      <c r="M37" s="3">
        <f t="shared" si="9"/>
        <v>271.17</v>
      </c>
      <c r="N37">
        <f t="shared" si="10"/>
        <v>-133.17000000000002</v>
      </c>
      <c r="O37">
        <f t="shared" si="11"/>
        <v>-1.4694209010066572</v>
      </c>
      <c r="P37">
        <f t="shared" si="5"/>
        <v>296.48263451294133</v>
      </c>
      <c r="Q37">
        <f t="shared" si="12"/>
        <v>-6.1814765713430475E-2</v>
      </c>
      <c r="R37">
        <f t="shared" si="13"/>
        <v>8.3282253238508019</v>
      </c>
      <c r="S37" s="4">
        <f t="shared" si="14"/>
        <v>358.54212630931715</v>
      </c>
    </row>
    <row r="38" spans="1:19" x14ac:dyDescent="0.5">
      <c r="A38" s="3" t="s">
        <v>4</v>
      </c>
      <c r="B38">
        <f>+B36*(7*B33^2/16+3*B34/4)</f>
        <v>-8.1222205625923405E-16</v>
      </c>
      <c r="C38">
        <f t="shared" si="6"/>
        <v>-132.48000000000002</v>
      </c>
      <c r="D38" s="23">
        <f t="shared" si="0"/>
        <v>19.378629770603098</v>
      </c>
      <c r="E38" s="92">
        <f t="shared" si="7"/>
        <v>0</v>
      </c>
      <c r="F38" s="3">
        <f t="shared" si="8"/>
        <v>-1.6739263635730175</v>
      </c>
      <c r="G38" s="4">
        <f t="shared" si="1"/>
        <v>294.55084199897163</v>
      </c>
      <c r="I38" s="25">
        <f t="shared" si="2"/>
        <v>-1.4886678545735776</v>
      </c>
      <c r="J38">
        <f t="shared" si="3"/>
        <v>0.18525850899943985</v>
      </c>
      <c r="K38" s="4">
        <f t="shared" si="4"/>
        <v>263.49451768392765</v>
      </c>
      <c r="M38" s="3">
        <f t="shared" si="9"/>
        <v>270.48</v>
      </c>
      <c r="N38">
        <f t="shared" si="10"/>
        <v>-132.48000000000002</v>
      </c>
      <c r="O38">
        <f t="shared" si="11"/>
        <v>-1.6739939248147095</v>
      </c>
      <c r="P38">
        <f t="shared" si="5"/>
        <v>294.55817445826779</v>
      </c>
      <c r="Q38">
        <f t="shared" si="12"/>
        <v>-6.7561241692049023E-2</v>
      </c>
      <c r="R38">
        <f t="shared" si="13"/>
        <v>7.332459296151228</v>
      </c>
      <c r="S38" s="4">
        <f t="shared" si="14"/>
        <v>359.27366126989693</v>
      </c>
    </row>
    <row r="39" spans="1:19" x14ac:dyDescent="0.5">
      <c r="A39" s="3" t="s">
        <v>5</v>
      </c>
      <c r="B39">
        <f>+B35*(21*B33^4/128+7*B33^2*B34/16+B34^2/8)</f>
        <v>9.5130869267390313E-19</v>
      </c>
      <c r="C39">
        <f t="shared" si="6"/>
        <v>-131.79000000000002</v>
      </c>
      <c r="D39" s="23">
        <f t="shared" si="0"/>
        <v>19.165156758406546</v>
      </c>
      <c r="E39" s="92">
        <f t="shared" si="7"/>
        <v>0</v>
      </c>
      <c r="F39" s="3">
        <f t="shared" si="8"/>
        <v>-1.8771664504300247</v>
      </c>
      <c r="G39" s="4">
        <f t="shared" si="1"/>
        <v>292.63125781528743</v>
      </c>
      <c r="I39" s="25">
        <f t="shared" si="2"/>
        <v>-1.6704790759831667</v>
      </c>
      <c r="J39">
        <f t="shared" si="3"/>
        <v>0.20668737444685803</v>
      </c>
      <c r="K39" s="4">
        <f t="shared" si="4"/>
        <v>262.11845493140282</v>
      </c>
      <c r="M39" s="3">
        <f t="shared" si="9"/>
        <v>269.79000000000002</v>
      </c>
      <c r="N39">
        <f t="shared" si="10"/>
        <v>-131.79000000000002</v>
      </c>
      <c r="O39">
        <f t="shared" si="11"/>
        <v>-1.8772390710690701</v>
      </c>
      <c r="P39">
        <f t="shared" si="5"/>
        <v>292.63763289237312</v>
      </c>
      <c r="Q39">
        <f t="shared" si="12"/>
        <v>-7.2620639045339885E-2</v>
      </c>
      <c r="R39">
        <f t="shared" si="13"/>
        <v>6.3750770856927375</v>
      </c>
      <c r="S39" s="4">
        <f t="shared" si="14"/>
        <v>360.0055699164439</v>
      </c>
    </row>
    <row r="40" spans="1:19" x14ac:dyDescent="0.5">
      <c r="A40" s="3" t="s">
        <v>6</v>
      </c>
      <c r="B40">
        <f>+B36*(33*B33^4/128+15*B33^2*B34/16+5*B34^2/8)</f>
        <v>-1.1674977867238611E-21</v>
      </c>
      <c r="C40">
        <f t="shared" si="6"/>
        <v>-131.10000000000002</v>
      </c>
      <c r="D40" s="23">
        <f t="shared" si="0"/>
        <v>18.953008259410904</v>
      </c>
      <c r="E40" s="92">
        <f t="shared" si="7"/>
        <v>0</v>
      </c>
      <c r="F40" s="3">
        <f t="shared" si="8"/>
        <v>-2.0790820240861221</v>
      </c>
      <c r="G40" s="4">
        <f t="shared" si="1"/>
        <v>290.71554061974859</v>
      </c>
      <c r="I40" s="25">
        <f t="shared" si="2"/>
        <v>-1.8513408140279353</v>
      </c>
      <c r="J40">
        <f t="shared" si="3"/>
        <v>0.22774121005818682</v>
      </c>
      <c r="K40" s="4">
        <f t="shared" si="4"/>
        <v>260.74256089573157</v>
      </c>
      <c r="M40" s="3">
        <f t="shared" si="9"/>
        <v>269.10000000000002</v>
      </c>
      <c r="N40">
        <f t="shared" si="10"/>
        <v>-131.10000000000002</v>
      </c>
      <c r="O40">
        <f t="shared" si="11"/>
        <v>-2.0791590435287333</v>
      </c>
      <c r="P40">
        <f t="shared" si="5"/>
        <v>290.72099587989538</v>
      </c>
      <c r="Q40">
        <f t="shared" si="12"/>
        <v>-7.7019442611181432E-2</v>
      </c>
      <c r="R40">
        <f t="shared" si="13"/>
        <v>5.4552601467889872</v>
      </c>
      <c r="S40" s="4">
        <f t="shared" si="14"/>
        <v>360.73784291007581</v>
      </c>
    </row>
    <row r="41" spans="1:19" x14ac:dyDescent="0.5">
      <c r="A41" s="3" t="s">
        <v>7</v>
      </c>
      <c r="B41">
        <f>+B35*(429*B33^6/4096+495*B33^4*B34/1024+135*B33^2*B34^2/256+5*B34^3/64)</f>
        <v>1.4818185753271607E-24</v>
      </c>
      <c r="C41">
        <f t="shared" si="6"/>
        <v>-130.41000000000003</v>
      </c>
      <c r="D41" s="23">
        <f t="shared" si="0"/>
        <v>18.742181605392638</v>
      </c>
      <c r="E41" s="92">
        <f t="shared" si="7"/>
        <v>0</v>
      </c>
      <c r="F41" s="3">
        <f t="shared" si="8"/>
        <v>-2.2796757527648435</v>
      </c>
      <c r="G41" s="4">
        <f t="shared" si="1"/>
        <v>288.80367735718039</v>
      </c>
      <c r="I41" s="25">
        <f t="shared" si="2"/>
        <v>-2.0312531851232052</v>
      </c>
      <c r="J41">
        <f t="shared" si="3"/>
        <v>0.24842256764163828</v>
      </c>
      <c r="K41" s="4">
        <f t="shared" si="4"/>
        <v>259.36649814122677</v>
      </c>
      <c r="M41" s="3">
        <f t="shared" si="9"/>
        <v>268.41000000000003</v>
      </c>
      <c r="N41">
        <f t="shared" si="10"/>
        <v>-130.41000000000003</v>
      </c>
      <c r="O41">
        <f t="shared" si="11"/>
        <v>-2.279756536337274</v>
      </c>
      <c r="P41">
        <f t="shared" si="5"/>
        <v>288.80824950864206</v>
      </c>
      <c r="Q41">
        <f t="shared" si="12"/>
        <v>-8.07835724305761E-2</v>
      </c>
      <c r="R41">
        <f t="shared" si="13"/>
        <v>4.5721514616730019</v>
      </c>
      <c r="S41" s="4">
        <f t="shared" si="14"/>
        <v>361.47049133041548</v>
      </c>
    </row>
    <row r="42" spans="1:19" x14ac:dyDescent="0.5">
      <c r="A42" s="3" t="s">
        <v>8</v>
      </c>
      <c r="B42">
        <f>+B36*(715*B33^6/4096+1001*B33^4*B34/1024+385*B33^2*B34^2/256+35*B34^3/64)</f>
        <v>-1.9291092464252567E-27</v>
      </c>
      <c r="C42">
        <f t="shared" si="6"/>
        <v>-129.72000000000003</v>
      </c>
      <c r="D42" s="23">
        <f t="shared" si="0"/>
        <v>18.532674137136304</v>
      </c>
      <c r="E42" s="92">
        <f t="shared" si="7"/>
        <v>0</v>
      </c>
      <c r="F42" s="3">
        <f t="shared" si="8"/>
        <v>-2.4789502956816327</v>
      </c>
      <c r="G42" s="4">
        <f t="shared" si="1"/>
        <v>286.89565503401155</v>
      </c>
      <c r="I42" s="25">
        <f t="shared" si="2"/>
        <v>-2.2102160728536546</v>
      </c>
      <c r="J42">
        <f t="shared" si="3"/>
        <v>0.2687342228279781</v>
      </c>
      <c r="K42" s="4">
        <f t="shared" si="4"/>
        <v>257.99068846250935</v>
      </c>
      <c r="M42" s="3">
        <f t="shared" si="9"/>
        <v>267.72000000000003</v>
      </c>
      <c r="N42">
        <f t="shared" si="10"/>
        <v>-129.72000000000003</v>
      </c>
      <c r="O42">
        <f t="shared" si="11"/>
        <v>-2.4790342340388349</v>
      </c>
      <c r="P42">
        <f t="shared" si="5"/>
        <v>286.89937999771627</v>
      </c>
      <c r="Q42">
        <f t="shared" si="12"/>
        <v>-8.3938357202217873E-2</v>
      </c>
      <c r="R42">
        <f t="shared" si="13"/>
        <v>3.7249637047125361</v>
      </c>
      <c r="S42" s="4">
        <f t="shared" si="14"/>
        <v>362.20350744329448</v>
      </c>
    </row>
    <row r="43" spans="1:19" x14ac:dyDescent="0.5">
      <c r="A43" s="3" t="s">
        <v>9</v>
      </c>
      <c r="B43">
        <f>+B35*(2431*B33^8/32768+1001*B33^6*B34/2048+1001*B33^4*B34^2/1024+77*B33^2*B34^3/128+7*B34^4/128)</f>
        <v>2.561748877031248E-30</v>
      </c>
      <c r="C43">
        <f t="shared" si="6"/>
        <v>-129.03000000000003</v>
      </c>
      <c r="D43" s="23">
        <f t="shared" si="0"/>
        <v>18.324483204392042</v>
      </c>
      <c r="E43" s="92">
        <f t="shared" si="7"/>
        <v>0</v>
      </c>
      <c r="F43" s="3">
        <f t="shared" si="8"/>
        <v>-2.6769083030863503</v>
      </c>
      <c r="G43" s="4">
        <f t="shared" si="1"/>
        <v>284.99146071769866</v>
      </c>
      <c r="I43" s="25">
        <f t="shared" si="2"/>
        <v>-2.3882296518422663</v>
      </c>
      <c r="J43">
        <f t="shared" si="3"/>
        <v>0.28867865124408398</v>
      </c>
      <c r="K43" s="4">
        <f t="shared" si="4"/>
        <v>256.61462570604544</v>
      </c>
      <c r="M43" s="3">
        <f t="shared" si="9"/>
        <v>267.03000000000003</v>
      </c>
      <c r="N43">
        <f t="shared" si="10"/>
        <v>-129.03000000000003</v>
      </c>
      <c r="O43">
        <f t="shared" si="11"/>
        <v>-2.6769948116687203</v>
      </c>
      <c r="P43">
        <f t="shared" si="5"/>
        <v>284.99437359711419</v>
      </c>
      <c r="Q43">
        <f t="shared" si="12"/>
        <v>-8.6508582370026232E-2</v>
      </c>
      <c r="R43">
        <f t="shared" si="13"/>
        <v>2.9128794155326432</v>
      </c>
      <c r="S43" s="4">
        <f t="shared" si="14"/>
        <v>362.93689527839206</v>
      </c>
    </row>
    <row r="44" spans="1:19" x14ac:dyDescent="0.5">
      <c r="C44">
        <f t="shared" si="6"/>
        <v>-128.34000000000003</v>
      </c>
      <c r="D44" s="23">
        <f t="shared" si="0"/>
        <v>18.117606165833465</v>
      </c>
      <c r="E44" s="92">
        <f t="shared" si="7"/>
        <v>0</v>
      </c>
      <c r="F44" s="3">
        <f t="shared" si="8"/>
        <v>-2.8735524163053827</v>
      </c>
      <c r="G44" s="4">
        <f t="shared" si="1"/>
        <v>283.09108153633372</v>
      </c>
      <c r="I44" s="25">
        <f t="shared" si="2"/>
        <v>-2.5652937474660575</v>
      </c>
      <c r="J44">
        <f t="shared" si="3"/>
        <v>0.30825866883932518</v>
      </c>
      <c r="K44" s="4">
        <f t="shared" si="4"/>
        <v>255.23881602537983</v>
      </c>
      <c r="M44" s="3">
        <f t="shared" si="9"/>
        <v>266.34000000000003</v>
      </c>
      <c r="N44">
        <f t="shared" si="10"/>
        <v>-128.34000000000003</v>
      </c>
      <c r="O44">
        <f t="shared" si="11"/>
        <v>-2.8736409347747127</v>
      </c>
      <c r="P44">
        <f t="shared" si="5"/>
        <v>283.09321664951113</v>
      </c>
      <c r="Q44">
        <f t="shared" si="12"/>
        <v>-8.8518469330001182E-2</v>
      </c>
      <c r="R44">
        <f t="shared" si="13"/>
        <v>2.1351131774167698</v>
      </c>
      <c r="S44" s="4">
        <f t="shared" si="14"/>
        <v>363.67065409083159</v>
      </c>
    </row>
    <row r="45" spans="1:19" x14ac:dyDescent="0.5">
      <c r="C45">
        <f t="shared" si="6"/>
        <v>-127.65000000000003</v>
      </c>
      <c r="D45" s="23">
        <f t="shared" si="0"/>
        <v>17.912040389015822</v>
      </c>
      <c r="E45" s="92">
        <f t="shared" si="7"/>
        <v>0</v>
      </c>
      <c r="F45" s="3">
        <f t="shared" si="8"/>
        <v>-3.068885267783481</v>
      </c>
      <c r="G45" s="4">
        <f t="shared" si="1"/>
        <v>281.19450467849776</v>
      </c>
      <c r="I45" s="25">
        <f t="shared" si="2"/>
        <v>-2.741408534348011</v>
      </c>
      <c r="J45">
        <f t="shared" si="3"/>
        <v>0.32747673343547001</v>
      </c>
      <c r="K45" s="4">
        <f t="shared" si="4"/>
        <v>253.86266890805422</v>
      </c>
      <c r="M45" s="3">
        <f t="shared" si="9"/>
        <v>265.65000000000003</v>
      </c>
      <c r="N45">
        <f t="shared" si="10"/>
        <v>-127.65000000000003</v>
      </c>
      <c r="O45">
        <f t="shared" si="11"/>
        <v>-3.0689752594810216</v>
      </c>
      <c r="P45">
        <f t="shared" si="5"/>
        <v>281.1958955645174</v>
      </c>
      <c r="Q45">
        <f t="shared" si="12"/>
        <v>-8.9991697540536819E-2</v>
      </c>
      <c r="R45">
        <f t="shared" si="13"/>
        <v>1.390886019635218</v>
      </c>
      <c r="S45" s="4">
        <f t="shared" si="14"/>
        <v>364.40478371284934</v>
      </c>
    </row>
    <row r="46" spans="1:19" x14ac:dyDescent="0.5">
      <c r="C46">
        <f t="shared" si="6"/>
        <v>-126.96000000000004</v>
      </c>
      <c r="D46" s="23">
        <f t="shared" si="0"/>
        <v>17.707783250334259</v>
      </c>
      <c r="E46" s="92">
        <f t="shared" si="7"/>
        <v>0</v>
      </c>
      <c r="F46" s="3">
        <f t="shared" si="8"/>
        <v>-3.2629094811254986</v>
      </c>
      <c r="G46" s="4">
        <f t="shared" si="1"/>
        <v>279.30171739270514</v>
      </c>
      <c r="I46" s="25">
        <f t="shared" si="2"/>
        <v>-2.9165737796574831</v>
      </c>
      <c r="J46">
        <f t="shared" si="3"/>
        <v>0.34633570146801551</v>
      </c>
      <c r="K46" s="4">
        <f t="shared" si="4"/>
        <v>252.48685922546102</v>
      </c>
      <c r="M46" s="3">
        <f t="shared" si="9"/>
        <v>264.96000000000004</v>
      </c>
      <c r="N46">
        <f t="shared" si="10"/>
        <v>-126.96000000000004</v>
      </c>
      <c r="O46">
        <f t="shared" si="11"/>
        <v>-3.2630004325344686</v>
      </c>
      <c r="P46">
        <f t="shared" si="5"/>
        <v>279.3023968212525</v>
      </c>
      <c r="Q46">
        <f t="shared" si="12"/>
        <v>-9.0951408969974779E-2</v>
      </c>
      <c r="R46">
        <f t="shared" si="13"/>
        <v>0.6794285473574746</v>
      </c>
      <c r="S46" s="4">
        <f t="shared" si="14"/>
        <v>365.13928456490754</v>
      </c>
    </row>
    <row r="47" spans="1:19" x14ac:dyDescent="0.5">
      <c r="C47">
        <f t="shared" si="6"/>
        <v>-126.27000000000004</v>
      </c>
      <c r="D47" s="23">
        <f t="shared" si="0"/>
        <v>17.504832134982468</v>
      </c>
      <c r="E47" s="92">
        <f t="shared" si="7"/>
        <v>0</v>
      </c>
      <c r="F47" s="3">
        <f t="shared" si="8"/>
        <v>-3.4556276711377452</v>
      </c>
      <c r="G47" s="4">
        <f t="shared" si="1"/>
        <v>277.41270698707575</v>
      </c>
      <c r="I47" s="25">
        <f t="shared" si="2"/>
        <v>-3.0907897162251174</v>
      </c>
      <c r="J47">
        <f t="shared" si="3"/>
        <v>0.36483795491262772</v>
      </c>
      <c r="K47" s="4">
        <f t="shared" si="4"/>
        <v>251.11088082406491</v>
      </c>
      <c r="M47" s="3">
        <f t="shared" si="9"/>
        <v>264.27000000000004</v>
      </c>
      <c r="N47">
        <f t="shared" si="10"/>
        <v>-126.27000000000004</v>
      </c>
      <c r="O47">
        <f t="shared" si="11"/>
        <v>-3.4557190913524494</v>
      </c>
      <c r="P47">
        <f t="shared" si="5"/>
        <v>277.41270697091994</v>
      </c>
      <c r="Q47">
        <f t="shared" si="12"/>
        <v>-9.1420214704207581E-2</v>
      </c>
      <c r="R47">
        <f t="shared" si="13"/>
        <v>-1.6155809134943411E-5</v>
      </c>
      <c r="S47" s="4">
        <f t="shared" si="14"/>
        <v>365.8741586655471</v>
      </c>
    </row>
    <row r="48" spans="1:19" x14ac:dyDescent="0.5">
      <c r="C48">
        <f t="shared" si="6"/>
        <v>-125.58000000000004</v>
      </c>
      <c r="D48" s="23">
        <f t="shared" si="0"/>
        <v>17.303184436911554</v>
      </c>
      <c r="E48" s="92">
        <f t="shared" si="7"/>
        <v>0</v>
      </c>
      <c r="F48" s="3">
        <f t="shared" si="8"/>
        <v>-3.6470424438691147</v>
      </c>
      <c r="G48" s="4">
        <f t="shared" si="1"/>
        <v>275.52746082916622</v>
      </c>
      <c r="I48" s="25">
        <f t="shared" si="2"/>
        <v>-3.2640562276355922</v>
      </c>
      <c r="J48">
        <f t="shared" si="3"/>
        <v>0.38298621623352247</v>
      </c>
      <c r="K48" s="4">
        <f t="shared" si="4"/>
        <v>249.73498678064146</v>
      </c>
      <c r="M48" s="3">
        <f t="shared" si="9"/>
        <v>263.58000000000004</v>
      </c>
      <c r="N48">
        <f t="shared" si="10"/>
        <v>-125.58000000000004</v>
      </c>
      <c r="O48">
        <f t="shared" si="11"/>
        <v>-3.6471338640726714</v>
      </c>
      <c r="P48">
        <f t="shared" si="5"/>
        <v>275.52681264453014</v>
      </c>
      <c r="Q48">
        <f t="shared" si="12"/>
        <v>-9.1420203556680235E-2</v>
      </c>
      <c r="R48">
        <f t="shared" si="13"/>
        <v>-0.64818463607707599</v>
      </c>
      <c r="S48" s="4">
        <f t="shared" si="14"/>
        <v>366.60940364521656</v>
      </c>
    </row>
    <row r="49" spans="1:19" x14ac:dyDescent="0.5">
      <c r="A49" s="3"/>
      <c r="C49">
        <f t="shared" si="6"/>
        <v>-124.89000000000004</v>
      </c>
      <c r="D49" s="23">
        <f t="shared" si="0"/>
        <v>17.102837558789027</v>
      </c>
      <c r="E49" s="92">
        <f t="shared" si="7"/>
        <v>0</v>
      </c>
      <c r="F49" s="3">
        <f t="shared" si="8"/>
        <v>-3.8371563966520972</v>
      </c>
      <c r="G49" s="4">
        <f t="shared" si="1"/>
        <v>273.64596634529448</v>
      </c>
      <c r="I49" s="25">
        <f t="shared" si="2"/>
        <v>-3.4363733720965683</v>
      </c>
      <c r="J49">
        <f t="shared" si="3"/>
        <v>0.40078302455552883</v>
      </c>
      <c r="K49" s="4">
        <f t="shared" si="4"/>
        <v>248.35892401842526</v>
      </c>
      <c r="M49" s="3">
        <f t="shared" si="9"/>
        <v>262.89000000000004</v>
      </c>
      <c r="N49">
        <f t="shared" si="10"/>
        <v>-124.89000000000004</v>
      </c>
      <c r="O49">
        <f t="shared" si="11"/>
        <v>-3.837247369608221</v>
      </c>
      <c r="P49">
        <f t="shared" si="5"/>
        <v>273.64470052973087</v>
      </c>
      <c r="Q49">
        <f t="shared" si="12"/>
        <v>-9.0972956123813731E-2</v>
      </c>
      <c r="R49">
        <f t="shared" si="13"/>
        <v>-1.2658155636131596</v>
      </c>
      <c r="S49" s="4">
        <f t="shared" si="14"/>
        <v>367.34502121589975</v>
      </c>
    </row>
    <row r="50" spans="1:19" x14ac:dyDescent="0.5">
      <c r="A50" s="3"/>
      <c r="C50">
        <f t="shared" si="6"/>
        <v>-124.20000000000005</v>
      </c>
      <c r="D50" s="23">
        <f t="shared" si="0"/>
        <v>16.903788911958255</v>
      </c>
      <c r="E50" s="92">
        <f t="shared" si="7"/>
        <v>0</v>
      </c>
      <c r="F50" s="3">
        <f t="shared" si="8"/>
        <v>-4.0259721181433239</v>
      </c>
      <c r="G50" s="4">
        <f t="shared" si="1"/>
        <v>271.76821102051173</v>
      </c>
      <c r="I50" s="25">
        <f t="shared" si="2"/>
        <v>-3.607741033192724</v>
      </c>
      <c r="J50">
        <f t="shared" si="3"/>
        <v>0.41823108495059991</v>
      </c>
      <c r="K50" s="4">
        <f t="shared" si="4"/>
        <v>246.98302997311583</v>
      </c>
      <c r="M50" s="3">
        <f t="shared" si="9"/>
        <v>262.20000000000005</v>
      </c>
      <c r="N50">
        <f t="shared" si="10"/>
        <v>-124.20000000000005</v>
      </c>
      <c r="O50">
        <f t="shared" si="11"/>
        <v>-4.0260622176866434</v>
      </c>
      <c r="P50">
        <f t="shared" si="5"/>
        <v>271.76635739140244</v>
      </c>
      <c r="Q50">
        <f t="shared" si="12"/>
        <v>-9.0099543319510644E-2</v>
      </c>
      <c r="R50">
        <f t="shared" si="13"/>
        <v>-1.8536291092914325</v>
      </c>
      <c r="S50" s="4">
        <f t="shared" si="14"/>
        <v>368.08101371433128</v>
      </c>
    </row>
    <row r="51" spans="1:19" x14ac:dyDescent="0.5">
      <c r="A51" s="3"/>
      <c r="C51">
        <f t="shared" si="6"/>
        <v>-123.51000000000005</v>
      </c>
      <c r="D51" s="23">
        <f t="shared" si="0"/>
        <v>16.706035916397941</v>
      </c>
      <c r="E51" s="92">
        <f t="shared" si="7"/>
        <v>0</v>
      </c>
      <c r="F51" s="3">
        <f t="shared" si="8"/>
        <v>-4.2134921883640937</v>
      </c>
      <c r="G51" s="4">
        <f t="shared" si="1"/>
        <v>269.89418239806156</v>
      </c>
      <c r="I51" s="25">
        <f t="shared" si="2"/>
        <v>-3.778159327339381</v>
      </c>
      <c r="J51">
        <f t="shared" si="3"/>
        <v>0.43533286102471269</v>
      </c>
      <c r="K51" s="4">
        <f t="shared" si="4"/>
        <v>245.60705156794756</v>
      </c>
      <c r="M51" s="3">
        <f t="shared" si="9"/>
        <v>261.51000000000005</v>
      </c>
      <c r="N51">
        <f t="shared" si="10"/>
        <v>-123.51000000000005</v>
      </c>
      <c r="O51">
        <f t="shared" si="11"/>
        <v>-4.2135810089032333</v>
      </c>
      <c r="P51">
        <f t="shared" si="5"/>
        <v>269.89177007423234</v>
      </c>
      <c r="Q51">
        <f t="shared" si="12"/>
        <v>-8.8820539139611299E-2</v>
      </c>
      <c r="R51">
        <f t="shared" si="13"/>
        <v>-2.4123238292190763</v>
      </c>
      <c r="S51" s="4">
        <f t="shared" si="14"/>
        <v>368.81737396284217</v>
      </c>
    </row>
    <row r="52" spans="1:19" x14ac:dyDescent="0.5">
      <c r="A52" s="3"/>
      <c r="C52">
        <f t="shared" si="6"/>
        <v>-122.82000000000005</v>
      </c>
      <c r="D52" s="23">
        <f t="shared" si="0"/>
        <v>16.509576000681964</v>
      </c>
      <c r="E52" s="92">
        <f t="shared" si="7"/>
        <v>0</v>
      </c>
      <c r="F52" s="3">
        <f t="shared" si="8"/>
        <v>-4.3997191787405256</v>
      </c>
      <c r="G52" s="4">
        <f t="shared" si="1"/>
        <v>268.02386807911836</v>
      </c>
      <c r="I52" s="25">
        <f t="shared" si="2"/>
        <v>-3.9476281963288784</v>
      </c>
      <c r="J52">
        <f t="shared" si="3"/>
        <v>0.45209098241164725</v>
      </c>
      <c r="K52" s="4">
        <f t="shared" si="4"/>
        <v>244.23115752077314</v>
      </c>
      <c r="M52" s="3">
        <f t="shared" si="9"/>
        <v>260.82000000000005</v>
      </c>
      <c r="N52">
        <f t="shared" si="10"/>
        <v>-122.82000000000005</v>
      </c>
      <c r="O52">
        <f t="shared" si="11"/>
        <v>-4.3998063347761018</v>
      </c>
      <c r="P52">
        <f t="shared" si="5"/>
        <v>268.020925453801</v>
      </c>
      <c r="Q52">
        <f t="shared" si="12"/>
        <v>-8.7156035576185786E-2</v>
      </c>
      <c r="R52">
        <f t="shared" si="13"/>
        <v>-2.9426253173596706</v>
      </c>
      <c r="S52" s="4">
        <f t="shared" si="14"/>
        <v>369.55411208405121</v>
      </c>
    </row>
    <row r="53" spans="1:19" x14ac:dyDescent="0.5">
      <c r="A53" s="3"/>
      <c r="C53">
        <f t="shared" si="6"/>
        <v>-122.13000000000005</v>
      </c>
      <c r="D53" s="23">
        <f t="shared" si="0"/>
        <v>16.314406601939414</v>
      </c>
      <c r="E53" s="92">
        <f t="shared" si="7"/>
        <v>0</v>
      </c>
      <c r="F53" s="3">
        <f t="shared" si="8"/>
        <v>-4.5846556521435318</v>
      </c>
      <c r="G53" s="4">
        <f t="shared" si="1"/>
        <v>266.15725572239984</v>
      </c>
      <c r="I53" s="25">
        <f t="shared" si="2"/>
        <v>-4.1161476983688772</v>
      </c>
      <c r="J53">
        <f t="shared" si="3"/>
        <v>0.4685079537746546</v>
      </c>
      <c r="K53" s="4">
        <f t="shared" si="4"/>
        <v>242.85517911375007</v>
      </c>
      <c r="M53" s="3">
        <f t="shared" si="9"/>
        <v>260.13000000000005</v>
      </c>
      <c r="N53">
        <f t="shared" si="10"/>
        <v>-122.13000000000005</v>
      </c>
      <c r="O53">
        <f t="shared" si="11"/>
        <v>-4.5847407777674931</v>
      </c>
      <c r="P53">
        <f t="shared" si="5"/>
        <v>266.15381052411226</v>
      </c>
      <c r="Q53">
        <f t="shared" si="12"/>
        <v>-8.5125623961346264E-2</v>
      </c>
      <c r="R53">
        <f t="shared" si="13"/>
        <v>-3.4451982875793874</v>
      </c>
      <c r="S53" s="4">
        <f t="shared" si="14"/>
        <v>370.29122464041592</v>
      </c>
    </row>
    <row r="54" spans="1:19" x14ac:dyDescent="0.5">
      <c r="A54" s="3"/>
      <c r="C54">
        <f t="shared" si="6"/>
        <v>-121.44000000000005</v>
      </c>
      <c r="D54" s="23">
        <f t="shared" si="0"/>
        <v>16.120525165814879</v>
      </c>
      <c r="E54" s="92">
        <f t="shared" si="7"/>
        <v>0</v>
      </c>
      <c r="F54" s="3">
        <f t="shared" si="8"/>
        <v>-4.7683041629285219</v>
      </c>
      <c r="G54" s="4">
        <f t="shared" si="1"/>
        <v>264.29433304388925</v>
      </c>
      <c r="I54" s="25">
        <f t="shared" si="2"/>
        <v>-4.2837177752517164</v>
      </c>
      <c r="J54">
        <f t="shared" si="3"/>
        <v>0.48458638767680551</v>
      </c>
      <c r="K54" s="4">
        <f t="shared" si="4"/>
        <v>241.47928506473139</v>
      </c>
      <c r="M54" s="3">
        <f t="shared" si="9"/>
        <v>259.44000000000005</v>
      </c>
      <c r="N54">
        <f t="shared" si="10"/>
        <v>-121.44000000000005</v>
      </c>
      <c r="O54">
        <f t="shared" si="11"/>
        <v>-4.7683869113654964</v>
      </c>
      <c r="P54">
        <f t="shared" si="5"/>
        <v>264.29041232808413</v>
      </c>
      <c r="Q54">
        <f t="shared" si="12"/>
        <v>-8.274843697453349E-2</v>
      </c>
      <c r="R54">
        <f t="shared" si="13"/>
        <v>-3.9207158051226543</v>
      </c>
      <c r="S54" s="4">
        <f t="shared" si="14"/>
        <v>371.02870668776973</v>
      </c>
    </row>
    <row r="55" spans="1:19" x14ac:dyDescent="0.5">
      <c r="A55" s="3"/>
      <c r="C55">
        <f t="shared" si="6"/>
        <v>-120.75000000000006</v>
      </c>
      <c r="D55" s="23">
        <f t="shared" si="0"/>
        <v>15.927929146428939</v>
      </c>
      <c r="E55" s="92">
        <f t="shared" si="7"/>
        <v>0</v>
      </c>
      <c r="F55" s="3">
        <f t="shared" si="8"/>
        <v>-4.9506672569749171</v>
      </c>
      <c r="G55" s="4">
        <f t="shared" si="1"/>
        <v>262.43508781642589</v>
      </c>
      <c r="I55" s="25">
        <f t="shared" si="2"/>
        <v>-4.4503384851850569</v>
      </c>
      <c r="J55">
        <f t="shared" si="3"/>
        <v>0.50032877178986013</v>
      </c>
      <c r="K55" s="4">
        <f t="shared" si="4"/>
        <v>240.10322229695038</v>
      </c>
      <c r="M55" s="3">
        <f t="shared" si="9"/>
        <v>258.75000000000006</v>
      </c>
      <c r="N55">
        <f t="shared" si="10"/>
        <v>-120.75000000000006</v>
      </c>
      <c r="O55">
        <f t="shared" si="11"/>
        <v>-4.9507473001177971</v>
      </c>
      <c r="P55">
        <f t="shared" si="5"/>
        <v>262.43071794982501</v>
      </c>
      <c r="Q55">
        <f t="shared" si="12"/>
        <v>-8.0043142880015239E-2</v>
      </c>
      <c r="R55">
        <f t="shared" si="13"/>
        <v>-4.3698666008822329</v>
      </c>
      <c r="S55" s="4">
        <f t="shared" si="14"/>
        <v>371.76656618429541</v>
      </c>
    </row>
    <row r="56" spans="1:19" x14ac:dyDescent="0.5">
      <c r="A56" s="3"/>
      <c r="C56">
        <f t="shared" si="6"/>
        <v>-120.06000000000006</v>
      </c>
      <c r="D56" s="23">
        <f t="shared" si="0"/>
        <v>15.736616006338931</v>
      </c>
      <c r="E56" s="92">
        <f t="shared" si="7"/>
        <v>0</v>
      </c>
      <c r="F56" s="3">
        <f t="shared" si="8"/>
        <v>-5.1317474717253804</v>
      </c>
      <c r="G56" s="4">
        <f t="shared" si="1"/>
        <v>260.57950786942314</v>
      </c>
      <c r="I56" s="25">
        <f t="shared" si="2"/>
        <v>-4.616009711753577</v>
      </c>
      <c r="J56">
        <f t="shared" si="3"/>
        <v>0.51573775997180338</v>
      </c>
      <c r="K56" s="4">
        <f t="shared" si="4"/>
        <v>238.72732824610821</v>
      </c>
      <c r="M56" s="3">
        <f t="shared" si="9"/>
        <v>258.06000000000006</v>
      </c>
      <c r="N56">
        <f t="shared" si="10"/>
        <v>-120.06000000000006</v>
      </c>
      <c r="O56">
        <f t="shared" si="11"/>
        <v>-5.1318244996600981</v>
      </c>
      <c r="P56">
        <f t="shared" si="5"/>
        <v>260.57471457899487</v>
      </c>
      <c r="Q56">
        <f t="shared" si="12"/>
        <v>-7.7027934717754931E-2</v>
      </c>
      <c r="R56">
        <f t="shared" si="13"/>
        <v>-4.7932904282674826</v>
      </c>
      <c r="S56" s="4">
        <f t="shared" si="14"/>
        <v>372.50479732571767</v>
      </c>
    </row>
    <row r="57" spans="1:19" x14ac:dyDescent="0.5">
      <c r="A57" s="3"/>
      <c r="C57">
        <f t="shared" si="6"/>
        <v>-119.37000000000006</v>
      </c>
      <c r="D57" s="23">
        <f t="shared" si="0"/>
        <v>15.546583216499913</v>
      </c>
      <c r="E57" s="92">
        <f t="shared" si="7"/>
        <v>0</v>
      </c>
      <c r="F57" s="3">
        <f t="shared" si="8"/>
        <v>-5.3115473362248533</v>
      </c>
      <c r="G57" s="4">
        <f t="shared" si="1"/>
        <v>258.72758108854549</v>
      </c>
      <c r="I57" s="25">
        <f t="shared" si="2"/>
        <v>-4.7807315713725984</v>
      </c>
      <c r="J57">
        <f t="shared" si="3"/>
        <v>0.5308157648522549</v>
      </c>
      <c r="K57" s="4">
        <f t="shared" si="4"/>
        <v>237.35134983543804</v>
      </c>
      <c r="M57" s="3">
        <f t="shared" si="9"/>
        <v>257.37000000000006</v>
      </c>
      <c r="N57">
        <f t="shared" si="10"/>
        <v>-119.37000000000006</v>
      </c>
      <c r="O57">
        <f t="shared" si="11"/>
        <v>-5.311621056788951</v>
      </c>
      <c r="P57">
        <f t="shared" si="5"/>
        <v>258.7223894412956</v>
      </c>
      <c r="Q57">
        <f t="shared" si="12"/>
        <v>-7.3720564097712327E-2</v>
      </c>
      <c r="R57">
        <f t="shared" si="13"/>
        <v>-5.19164724988741</v>
      </c>
      <c r="S57" s="4">
        <f t="shared" si="14"/>
        <v>373.24340677815121</v>
      </c>
    </row>
    <row r="58" spans="1:19" x14ac:dyDescent="0.5">
      <c r="A58" s="3"/>
      <c r="C58">
        <f t="shared" si="6"/>
        <v>-118.68000000000006</v>
      </c>
      <c r="D58" s="23">
        <f t="shared" si="0"/>
        <v>15.357828256225853</v>
      </c>
      <c r="E58" s="92">
        <f t="shared" si="7"/>
        <v>0</v>
      </c>
      <c r="F58" s="3">
        <f t="shared" si="8"/>
        <v>-5.4900693711593691</v>
      </c>
      <c r="G58" s="4">
        <f t="shared" si="1"/>
        <v>256.87929541532759</v>
      </c>
      <c r="I58" s="25">
        <f t="shared" si="2"/>
        <v>-4.9445040058344603</v>
      </c>
      <c r="J58">
        <f t="shared" si="3"/>
        <v>0.54556536532490885</v>
      </c>
      <c r="K58" s="4">
        <f t="shared" si="4"/>
        <v>235.97545578279332</v>
      </c>
      <c r="M58" s="3">
        <f t="shared" si="9"/>
        <v>256.68000000000006</v>
      </c>
      <c r="N58">
        <f t="shared" si="10"/>
        <v>-118.68000000000006</v>
      </c>
      <c r="O58">
        <f t="shared" si="11"/>
        <v>-5.4901395094866245</v>
      </c>
      <c r="P58">
        <f t="shared" si="5"/>
        <v>256.87372986025679</v>
      </c>
      <c r="Q58">
        <f t="shared" si="12"/>
        <v>-7.0138327255442334E-2</v>
      </c>
      <c r="R58">
        <f t="shared" si="13"/>
        <v>-5.5655550708024748</v>
      </c>
      <c r="S58" s="4">
        <f t="shared" si="14"/>
        <v>373.98238783422016</v>
      </c>
    </row>
    <row r="59" spans="1:19" x14ac:dyDescent="0.5">
      <c r="A59" s="3"/>
      <c r="C59">
        <f t="shared" si="6"/>
        <v>-117.99000000000007</v>
      </c>
      <c r="D59" s="23">
        <f t="shared" si="0"/>
        <v>15.170348613151074</v>
      </c>
      <c r="E59" s="92">
        <f t="shared" si="7"/>
        <v>0</v>
      </c>
      <c r="F59" s="3">
        <f t="shared" si="8"/>
        <v>-5.6673160888946033</v>
      </c>
      <c r="G59" s="4">
        <f t="shared" si="1"/>
        <v>255.03463884688307</v>
      </c>
      <c r="I59" s="25">
        <f t="shared" si="2"/>
        <v>-5.1073270733468235</v>
      </c>
      <c r="J59">
        <f t="shared" si="3"/>
        <v>0.5599890155477798</v>
      </c>
      <c r="K59" s="4">
        <f t="shared" si="4"/>
        <v>234.59947737033093</v>
      </c>
      <c r="M59" s="3">
        <f t="shared" si="9"/>
        <v>255.99000000000007</v>
      </c>
      <c r="N59">
        <f t="shared" si="10"/>
        <v>-117.99000000000007</v>
      </c>
      <c r="O59">
        <f t="shared" si="11"/>
        <v>-5.6673823869886064</v>
      </c>
      <c r="P59">
        <f t="shared" si="5"/>
        <v>255.02872319030135</v>
      </c>
      <c r="Q59">
        <f t="shared" si="12"/>
        <v>-6.6298094003158781E-2</v>
      </c>
      <c r="R59">
        <f t="shared" si="13"/>
        <v>-5.915656581720441</v>
      </c>
      <c r="S59" s="4">
        <f t="shared" si="14"/>
        <v>374.72174686491655</v>
      </c>
    </row>
    <row r="60" spans="1:19" x14ac:dyDescent="0.5">
      <c r="A60" s="3"/>
      <c r="C60">
        <f t="shared" si="6"/>
        <v>-117.30000000000007</v>
      </c>
      <c r="D60" s="23">
        <f t="shared" si="0"/>
        <v>14.984141783191909</v>
      </c>
      <c r="E60" s="92">
        <f t="shared" si="7"/>
        <v>0</v>
      </c>
      <c r="F60" s="3">
        <f t="shared" si="8"/>
        <v>-5.8432899935142233</v>
      </c>
      <c r="G60" s="4">
        <f t="shared" si="1"/>
        <v>253.19359943559081</v>
      </c>
      <c r="I60" s="25">
        <f t="shared" si="2"/>
        <v>-5.2692007157020271</v>
      </c>
      <c r="J60">
        <f t="shared" si="3"/>
        <v>0.57408927781219621</v>
      </c>
      <c r="K60" s="4">
        <f t="shared" si="4"/>
        <v>233.22358331590445</v>
      </c>
      <c r="M60" s="3">
        <f t="shared" si="9"/>
        <v>255.30000000000007</v>
      </c>
      <c r="N60">
        <f t="shared" si="10"/>
        <v>-117.30000000000007</v>
      </c>
      <c r="O60">
        <f t="shared" si="11"/>
        <v>-5.8433522098049195</v>
      </c>
      <c r="P60">
        <f t="shared" si="5"/>
        <v>253.1873568811057</v>
      </c>
      <c r="Q60">
        <f t="shared" si="12"/>
        <v>-6.2216290696248677E-2</v>
      </c>
      <c r="R60">
        <f t="shared" si="13"/>
        <v>-6.2425544851123504</v>
      </c>
      <c r="S60" s="4">
        <f t="shared" si="14"/>
        <v>375.46147728033242</v>
      </c>
    </row>
    <row r="61" spans="1:19" x14ac:dyDescent="0.5">
      <c r="A61" s="3"/>
      <c r="C61">
        <f t="shared" si="6"/>
        <v>-116.61000000000007</v>
      </c>
      <c r="D61" s="23">
        <f t="shared" si="0"/>
        <v>14.799205270508565</v>
      </c>
      <c r="E61" s="92">
        <f t="shared" si="7"/>
        <v>0</v>
      </c>
      <c r="F61" s="3">
        <f t="shared" si="8"/>
        <v>-6.0179935808580218</v>
      </c>
      <c r="G61" s="4">
        <f t="shared" si="1"/>
        <v>251.3561652887264</v>
      </c>
      <c r="I61" s="25">
        <f t="shared" si="2"/>
        <v>-5.4301249911077321</v>
      </c>
      <c r="J61">
        <f t="shared" si="3"/>
        <v>0.58786858975028977</v>
      </c>
      <c r="K61" s="4">
        <f t="shared" si="4"/>
        <v>231.84752054274628</v>
      </c>
      <c r="M61" s="3">
        <f t="shared" si="9"/>
        <v>254.61000000000007</v>
      </c>
      <c r="N61">
        <f t="shared" si="10"/>
        <v>-116.61000000000007</v>
      </c>
      <c r="O61">
        <f t="shared" si="11"/>
        <v>-6.0180514897858473</v>
      </c>
      <c r="P61">
        <f t="shared" si="5"/>
        <v>251.34961841323934</v>
      </c>
      <c r="Q61">
        <f t="shared" si="12"/>
        <v>-5.7908927825423007E-2</v>
      </c>
      <c r="R61">
        <f t="shared" si="13"/>
        <v>-6.5468754870607881</v>
      </c>
      <c r="S61" s="4">
        <f t="shared" si="14"/>
        <v>376.20159095457535</v>
      </c>
    </row>
    <row r="62" spans="1:19" x14ac:dyDescent="0.5">
      <c r="A62" s="3"/>
      <c r="C62">
        <f t="shared" si="6"/>
        <v>-115.92000000000007</v>
      </c>
      <c r="D62" s="23">
        <f t="shared" si="0"/>
        <v>14.615536587467247</v>
      </c>
      <c r="E62" s="92">
        <f t="shared" si="7"/>
        <v>0</v>
      </c>
      <c r="F62" s="3">
        <f t="shared" si="8"/>
        <v>-6.1914293385597956</v>
      </c>
      <c r="G62" s="4">
        <f t="shared" si="1"/>
        <v>249.52232456821676</v>
      </c>
      <c r="I62" s="25">
        <f t="shared" si="2"/>
        <v>-5.5900997831486166</v>
      </c>
      <c r="J62">
        <f t="shared" si="3"/>
        <v>0.60132955541117905</v>
      </c>
      <c r="K62" s="4">
        <f t="shared" si="4"/>
        <v>230.47162648655885</v>
      </c>
      <c r="M62" s="3">
        <f t="shared" si="9"/>
        <v>253.92000000000007</v>
      </c>
      <c r="N62">
        <f t="shared" si="10"/>
        <v>-115.92000000000007</v>
      </c>
      <c r="O62">
        <f t="shared" si="11"/>
        <v>-6.1914827301432496</v>
      </c>
      <c r="P62">
        <f t="shared" si="5"/>
        <v>249.5154953882697</v>
      </c>
      <c r="Q62">
        <f t="shared" si="12"/>
        <v>-5.3391583453965552E-2</v>
      </c>
      <c r="R62">
        <f t="shared" si="13"/>
        <v>-6.8291799470614478</v>
      </c>
      <c r="S62" s="4">
        <f t="shared" si="14"/>
        <v>376.9420729992429</v>
      </c>
    </row>
    <row r="63" spans="1:19" x14ac:dyDescent="0.5">
      <c r="A63" s="3"/>
      <c r="C63">
        <f t="shared" si="6"/>
        <v>-115.23000000000008</v>
      </c>
      <c r="D63" s="23">
        <f t="shared" si="0"/>
        <v>14.433133254602444</v>
      </c>
      <c r="E63" s="92">
        <f t="shared" si="7"/>
        <v>0</v>
      </c>
      <c r="F63" s="3">
        <f t="shared" si="8"/>
        <v>-6.3635997460850549</v>
      </c>
      <c r="G63" s="4">
        <f t="shared" si="1"/>
        <v>247.69206549019827</v>
      </c>
      <c r="I63" s="25">
        <f t="shared" si="2"/>
        <v>-5.7491252082400024</v>
      </c>
      <c r="J63">
        <f t="shared" si="3"/>
        <v>0.61447453784505246</v>
      </c>
      <c r="K63" s="4">
        <f t="shared" si="4"/>
        <v>229.09573242949884</v>
      </c>
      <c r="M63" s="3">
        <f t="shared" si="9"/>
        <v>253.23000000000008</v>
      </c>
      <c r="N63">
        <f t="shared" si="10"/>
        <v>-115.23000000000008</v>
      </c>
      <c r="O63">
        <f t="shared" si="11"/>
        <v>-6.363648425534052</v>
      </c>
      <c r="P63">
        <f t="shared" si="5"/>
        <v>247.68497539746627</v>
      </c>
      <c r="Q63">
        <f t="shared" si="12"/>
        <v>-4.8679448997113184E-2</v>
      </c>
      <c r="R63">
        <f t="shared" si="13"/>
        <v>-7.0900927319996754</v>
      </c>
      <c r="S63" s="4">
        <f t="shared" si="14"/>
        <v>377.68293498727058</v>
      </c>
    </row>
    <row r="64" spans="1:19" x14ac:dyDescent="0.5">
      <c r="A64" s="3"/>
      <c r="C64">
        <f t="shared" si="6"/>
        <v>-114.54000000000008</v>
      </c>
      <c r="D64" s="23">
        <f t="shared" si="0"/>
        <v>14.251992800579526</v>
      </c>
      <c r="E64" s="92">
        <f t="shared" si="7"/>
        <v>0</v>
      </c>
      <c r="F64" s="3">
        <f t="shared" si="8"/>
        <v>-6.5345072747684281</v>
      </c>
      <c r="G64" s="4">
        <f t="shared" si="1"/>
        <v>245.86537632487523</v>
      </c>
      <c r="I64" s="25">
        <f t="shared" si="2"/>
        <v>-5.9072012663818896</v>
      </c>
      <c r="J64">
        <f t="shared" si="3"/>
        <v>0.62730600838653849</v>
      </c>
      <c r="K64" s="4">
        <f t="shared" si="4"/>
        <v>227.71966965372246</v>
      </c>
      <c r="M64" s="3">
        <f t="shared" si="9"/>
        <v>252.54000000000008</v>
      </c>
      <c r="N64">
        <f t="shared" si="10"/>
        <v>-114.54000000000008</v>
      </c>
      <c r="O64">
        <f t="shared" si="11"/>
        <v>-6.53455106205314</v>
      </c>
      <c r="P64">
        <f t="shared" si="5"/>
        <v>245.858046150522</v>
      </c>
      <c r="Q64">
        <f t="shared" si="12"/>
        <v>-4.3787284711882535E-2</v>
      </c>
      <c r="R64">
        <f t="shared" si="13"/>
        <v>-7.3301743532283581</v>
      </c>
      <c r="S64" s="4">
        <f t="shared" si="14"/>
        <v>378.42417593672775</v>
      </c>
    </row>
    <row r="65" spans="1:19" x14ac:dyDescent="0.5">
      <c r="A65" s="3"/>
      <c r="C65">
        <f t="shared" si="6"/>
        <v>-113.85000000000008</v>
      </c>
      <c r="D65" s="23">
        <f t="shared" si="0"/>
        <v>14.07211276215744</v>
      </c>
      <c r="E65" s="92">
        <f t="shared" si="7"/>
        <v>0</v>
      </c>
      <c r="F65" s="3">
        <f t="shared" si="8"/>
        <v>-6.7041543878509691</v>
      </c>
      <c r="G65" s="4">
        <f t="shared" si="1"/>
        <v>244.04224539602825</v>
      </c>
      <c r="I65" s="25">
        <f t="shared" si="2"/>
        <v>-6.0643278411589563</v>
      </c>
      <c r="J65">
        <f t="shared" si="3"/>
        <v>0.63982654669201278</v>
      </c>
      <c r="K65" s="4">
        <f t="shared" si="4"/>
        <v>226.34377559493274</v>
      </c>
      <c r="M65" s="3">
        <f t="shared" si="9"/>
        <v>251.85000000000008</v>
      </c>
      <c r="N65">
        <f t="shared" si="10"/>
        <v>-113.85000000000008</v>
      </c>
      <c r="O65">
        <f t="shared" si="11"/>
        <v>-6.7041931173150715</v>
      </c>
      <c r="P65">
        <f t="shared" si="5"/>
        <v>244.03469541376737</v>
      </c>
      <c r="Q65">
        <f t="shared" si="12"/>
        <v>-3.8729464102438271E-2</v>
      </c>
      <c r="R65">
        <f t="shared" si="13"/>
        <v>-7.5499822608833256</v>
      </c>
      <c r="S65" s="4">
        <f t="shared" si="14"/>
        <v>379.16578688876751</v>
      </c>
    </row>
    <row r="66" spans="1:19" x14ac:dyDescent="0.5">
      <c r="A66" s="3"/>
      <c r="C66">
        <f t="shared" si="6"/>
        <v>-113.16000000000008</v>
      </c>
      <c r="D66" s="23">
        <f t="shared" si="0"/>
        <v>13.89349068415174</v>
      </c>
      <c r="E66" s="92">
        <f t="shared" si="7"/>
        <v>0</v>
      </c>
      <c r="F66" s="3">
        <f t="shared" si="8"/>
        <v>-6.8725435405171247</v>
      </c>
      <c r="G66" s="4">
        <f t="shared" si="1"/>
        <v>242.22266108084813</v>
      </c>
      <c r="I66" s="25">
        <f t="shared" si="2"/>
        <v>-6.2205050489865243</v>
      </c>
      <c r="J66">
        <f t="shared" si="3"/>
        <v>0.65203849153060034</v>
      </c>
      <c r="K66" s="4">
        <f t="shared" si="4"/>
        <v>224.96788153528607</v>
      </c>
      <c r="M66" s="3">
        <f t="shared" si="9"/>
        <v>251.16000000000008</v>
      </c>
      <c r="N66">
        <f t="shared" si="10"/>
        <v>-113.16000000000008</v>
      </c>
      <c r="O66">
        <f t="shared" si="11"/>
        <v>-6.8725770604931569</v>
      </c>
      <c r="P66">
        <f t="shared" si="5"/>
        <v>242.21491097155339</v>
      </c>
      <c r="Q66">
        <f t="shared" si="12"/>
        <v>-3.3519976032181376E-2</v>
      </c>
      <c r="R66">
        <f t="shared" si="13"/>
        <v>-7.7501092947329653</v>
      </c>
      <c r="S66" s="4">
        <f t="shared" si="14"/>
        <v>379.90778359977725</v>
      </c>
    </row>
    <row r="67" spans="1:19" x14ac:dyDescent="0.5">
      <c r="A67" s="3"/>
      <c r="C67">
        <f t="shared" si="6"/>
        <v>-112.47000000000008</v>
      </c>
      <c r="D67" s="23">
        <f t="shared" si="0"/>
        <v>13.716124119397731</v>
      </c>
      <c r="E67" s="92">
        <f t="shared" si="7"/>
        <v>0</v>
      </c>
      <c r="F67" s="3">
        <f t="shared" si="8"/>
        <v>-7.039677179931588</v>
      </c>
      <c r="G67" s="4">
        <f t="shared" si="1"/>
        <v>240.40661180949698</v>
      </c>
      <c r="I67" s="25">
        <f t="shared" si="2"/>
        <v>-6.3757328898645937</v>
      </c>
      <c r="J67">
        <f t="shared" si="3"/>
        <v>0.66394429006699429</v>
      </c>
      <c r="K67" s="4">
        <f t="shared" si="4"/>
        <v>223.59190311586298</v>
      </c>
      <c r="M67" s="3">
        <f t="shared" si="9"/>
        <v>250.47000000000008</v>
      </c>
      <c r="N67">
        <f t="shared" si="10"/>
        <v>-112.47000000000008</v>
      </c>
      <c r="O67">
        <f t="shared" si="11"/>
        <v>-7.0397053523318931</v>
      </c>
      <c r="P67">
        <f t="shared" si="5"/>
        <v>240.39868074467577</v>
      </c>
      <c r="Q67">
        <f t="shared" si="12"/>
        <v>-2.8172400305059853E-2</v>
      </c>
      <c r="R67">
        <f t="shared" si="13"/>
        <v>-7.931064821207201</v>
      </c>
      <c r="S67" s="4">
        <f t="shared" si="14"/>
        <v>380.65015242431417</v>
      </c>
    </row>
    <row r="68" spans="1:19" x14ac:dyDescent="0.5">
      <c r="A68" s="3"/>
      <c r="C68">
        <f t="shared" si="6"/>
        <v>-111.78000000000009</v>
      </c>
      <c r="D68" s="23">
        <f t="shared" si="0"/>
        <v>13.540010628713926</v>
      </c>
      <c r="E68" s="92">
        <f t="shared" si="7"/>
        <v>0</v>
      </c>
      <c r="F68" s="3">
        <f t="shared" si="8"/>
        <v>-7.2055577452758488</v>
      </c>
      <c r="G68" s="4">
        <f t="shared" si="1"/>
        <v>238.59408606490993</v>
      </c>
      <c r="I68" s="25">
        <f t="shared" si="2"/>
        <v>-6.5300113055855036</v>
      </c>
      <c r="J68">
        <f t="shared" si="3"/>
        <v>0.67554643969034522</v>
      </c>
      <c r="K68" s="4">
        <f t="shared" si="4"/>
        <v>222.2159246955932</v>
      </c>
      <c r="M68" s="3">
        <f t="shared" si="9"/>
        <v>249.78000000000009</v>
      </c>
      <c r="N68">
        <f t="shared" si="10"/>
        <v>-111.78000000000009</v>
      </c>
      <c r="O68">
        <f t="shared" si="11"/>
        <v>-7.205580445241111</v>
      </c>
      <c r="P68">
        <f t="shared" si="5"/>
        <v>238.58599264878123</v>
      </c>
      <c r="Q68">
        <f t="shared" si="12"/>
        <v>-2.2699965262162891E-2</v>
      </c>
      <c r="R68">
        <f t="shared" si="13"/>
        <v>-8.0934161287018469</v>
      </c>
      <c r="S68" s="4">
        <f t="shared" si="14"/>
        <v>381.39289912445696</v>
      </c>
    </row>
    <row r="69" spans="1:19" x14ac:dyDescent="0.5">
      <c r="A69" s="3"/>
      <c r="C69">
        <f t="shared" si="6"/>
        <v>-111.09000000000009</v>
      </c>
      <c r="D69" s="23">
        <f t="shared" si="0"/>
        <v>13.365147780865623</v>
      </c>
      <c r="E69" s="92">
        <f t="shared" si="7"/>
        <v>0</v>
      </c>
      <c r="F69" s="3">
        <f t="shared" si="8"/>
        <v>-7.3701876677846068</v>
      </c>
      <c r="G69" s="4">
        <f t="shared" si="1"/>
        <v>236.78507238245018</v>
      </c>
      <c r="I69" s="25">
        <f t="shared" si="2"/>
        <v>-6.6833402961492538</v>
      </c>
      <c r="J69">
        <f t="shared" si="3"/>
        <v>0.68684737163535292</v>
      </c>
      <c r="K69" s="4">
        <f t="shared" si="4"/>
        <v>220.839946274482</v>
      </c>
      <c r="M69" s="3">
        <f t="shared" si="9"/>
        <v>249.09000000000009</v>
      </c>
      <c r="N69">
        <f t="shared" si="10"/>
        <v>-111.09000000000009</v>
      </c>
      <c r="O69">
        <f t="shared" si="11"/>
        <v>-7.3702047832924222</v>
      </c>
      <c r="P69">
        <f t="shared" si="5"/>
        <v>236.77683468704677</v>
      </c>
      <c r="Q69">
        <f t="shared" si="12"/>
        <v>-1.7115507815468334E-2</v>
      </c>
      <c r="R69">
        <f t="shared" si="13"/>
        <v>-8.2376954034089067</v>
      </c>
      <c r="S69" s="4">
        <f t="shared" si="14"/>
        <v>382.13602745704776</v>
      </c>
    </row>
    <row r="70" spans="1:19" x14ac:dyDescent="0.5">
      <c r="A70" s="3"/>
      <c r="C70">
        <f t="shared" si="6"/>
        <v>-110.40000000000009</v>
      </c>
      <c r="D70" s="23">
        <f t="shared" si="0"/>
        <v>13.191533152528738</v>
      </c>
      <c r="E70" s="92">
        <f t="shared" si="7"/>
        <v>0</v>
      </c>
      <c r="F70" s="3">
        <f t="shared" si="8"/>
        <v>-7.5335693707819473</v>
      </c>
      <c r="G70" s="4">
        <f t="shared" si="1"/>
        <v>234.979559349564</v>
      </c>
      <c r="I70" s="25">
        <f t="shared" si="2"/>
        <v>-6.8357198615558445</v>
      </c>
      <c r="J70">
        <f t="shared" si="3"/>
        <v>0.69784950922610278</v>
      </c>
      <c r="K70" s="4">
        <f t="shared" si="4"/>
        <v>219.46405221145932</v>
      </c>
      <c r="M70" s="3">
        <f t="shared" si="9"/>
        <v>248.40000000000009</v>
      </c>
      <c r="N70">
        <f t="shared" si="10"/>
        <v>-110.40000000000009</v>
      </c>
      <c r="O70">
        <f t="shared" si="11"/>
        <v>-7.5335808022796158</v>
      </c>
      <c r="P70">
        <f t="shared" si="5"/>
        <v>234.97119493988225</v>
      </c>
      <c r="Q70">
        <f t="shared" si="12"/>
        <v>-1.1431497668468182E-2</v>
      </c>
      <c r="R70">
        <f t="shared" si="13"/>
        <v>-8.3644096817465652</v>
      </c>
      <c r="S70" s="4">
        <f t="shared" si="14"/>
        <v>382.87953147516976</v>
      </c>
    </row>
    <row r="71" spans="1:19" x14ac:dyDescent="0.5">
      <c r="A71" s="3"/>
      <c r="C71">
        <f t="shared" si="6"/>
        <v>-109.71000000000009</v>
      </c>
      <c r="D71" s="23">
        <f t="shared" si="0"/>
        <v>13.019164328253861</v>
      </c>
      <c r="E71" s="92">
        <f t="shared" si="7"/>
        <v>0</v>
      </c>
      <c r="F71" s="3">
        <f t="shared" si="8"/>
        <v>-7.695705269717279</v>
      </c>
      <c r="G71" s="4">
        <f t="shared" si="1"/>
        <v>233.17753560555812</v>
      </c>
      <c r="I71" s="25">
        <f t="shared" si="2"/>
        <v>-6.9871500600129366</v>
      </c>
      <c r="J71">
        <f t="shared" si="3"/>
        <v>0.70855520970434238</v>
      </c>
      <c r="K71" s="4">
        <f t="shared" si="4"/>
        <v>218.0880737886809</v>
      </c>
      <c r="M71" s="3">
        <f t="shared" si="9"/>
        <v>247.71000000000009</v>
      </c>
      <c r="N71">
        <f t="shared" si="10"/>
        <v>-109.71000000000009</v>
      </c>
      <c r="O71">
        <f t="shared" si="11"/>
        <v>-7.6957109297719484</v>
      </c>
      <c r="P71">
        <f t="shared" si="5"/>
        <v>233.16906151859033</v>
      </c>
      <c r="Q71">
        <f t="shared" si="12"/>
        <v>-5.6600546693985621E-3</v>
      </c>
      <c r="R71">
        <f t="shared" si="13"/>
        <v>-8.474086967794392</v>
      </c>
      <c r="S71" s="4">
        <f t="shared" si="14"/>
        <v>383.62341400708931</v>
      </c>
    </row>
    <row r="72" spans="1:19" x14ac:dyDescent="0.5">
      <c r="A72" s="3"/>
      <c r="C72">
        <f t="shared" si="6"/>
        <v>-109.0200000000001</v>
      </c>
      <c r="D72" s="23">
        <f t="shared" si="0"/>
        <v>12.848038900430479</v>
      </c>
      <c r="E72" s="92">
        <f t="shared" si="7"/>
        <v>0</v>
      </c>
      <c r="F72" s="3">
        <f t="shared" si="8"/>
        <v>-7.8565977722011171</v>
      </c>
      <c r="G72" s="4">
        <f t="shared" si="1"/>
        <v>231.37898984121222</v>
      </c>
      <c r="I72" s="25">
        <f t="shared" si="2"/>
        <v>-7.1376308333128691</v>
      </c>
      <c r="J72">
        <f t="shared" si="3"/>
        <v>0.71896693888824803</v>
      </c>
      <c r="K72" s="4">
        <f t="shared" si="4"/>
        <v>216.71217972400157</v>
      </c>
      <c r="M72" s="3">
        <f t="shared" si="9"/>
        <v>247.0200000000001</v>
      </c>
      <c r="N72">
        <f t="shared" si="10"/>
        <v>-109.0200000000001</v>
      </c>
      <c r="O72">
        <f t="shared" si="11"/>
        <v>-7.8565975851354608</v>
      </c>
      <c r="P72">
        <f t="shared" si="5"/>
        <v>231.37042260655758</v>
      </c>
      <c r="Q72">
        <f t="shared" si="12"/>
        <v>1.8706565629855731E-4</v>
      </c>
      <c r="R72">
        <f t="shared" si="13"/>
        <v>-8.5672346546346034</v>
      </c>
      <c r="S72" s="4">
        <f t="shared" si="14"/>
        <v>384.36767855885125</v>
      </c>
    </row>
    <row r="73" spans="1:19" x14ac:dyDescent="0.5">
      <c r="A73" s="3"/>
      <c r="C73">
        <f t="shared" si="6"/>
        <v>-108.3300000000001</v>
      </c>
      <c r="D73" s="23">
        <f t="shared" si="0"/>
        <v>12.678154469251451</v>
      </c>
      <c r="E73" s="92">
        <f t="shared" si="7"/>
        <v>0</v>
      </c>
      <c r="F73" s="3">
        <f t="shared" si="8"/>
        <v>-8.0162492780406005</v>
      </c>
      <c r="G73" s="4">
        <f t="shared" si="1"/>
        <v>229.58391079858717</v>
      </c>
      <c r="I73" s="25">
        <f t="shared" si="2"/>
        <v>-7.2871622396633029</v>
      </c>
      <c r="J73">
        <f t="shared" si="3"/>
        <v>0.7290870383772976</v>
      </c>
      <c r="K73" s="4">
        <f t="shared" si="4"/>
        <v>215.33611694065183</v>
      </c>
      <c r="M73" s="3">
        <f t="shared" si="9"/>
        <v>246.3300000000001</v>
      </c>
      <c r="N73">
        <f t="shared" si="10"/>
        <v>-108.3300000000001</v>
      </c>
      <c r="O73">
        <f t="shared" si="11"/>
        <v>-8.016243179582716</v>
      </c>
      <c r="P73">
        <f t="shared" si="5"/>
        <v>229.57526646182896</v>
      </c>
      <c r="Q73">
        <f t="shared" si="12"/>
        <v>6.0984578844625048E-3</v>
      </c>
      <c r="R73">
        <f t="shared" si="13"/>
        <v>-8.6443367582091923</v>
      </c>
      <c r="S73" s="4">
        <f t="shared" si="14"/>
        <v>385.11231659886602</v>
      </c>
    </row>
    <row r="74" spans="1:19" x14ac:dyDescent="0.5">
      <c r="A74" s="3"/>
      <c r="C74">
        <f t="shared" si="6"/>
        <v>-107.6400000000001</v>
      </c>
      <c r="D74" s="23">
        <f t="shared" si="0"/>
        <v>12.509508642677631</v>
      </c>
      <c r="E74" s="92">
        <f t="shared" si="7"/>
        <v>0</v>
      </c>
      <c r="F74" s="3">
        <f t="shared" si="8"/>
        <v>-8.1746621792748755</v>
      </c>
      <c r="G74" s="4">
        <f t="shared" si="1"/>
        <v>227.79228727060271</v>
      </c>
      <c r="I74" s="25">
        <f t="shared" si="2"/>
        <v>-7.4357441626489162</v>
      </c>
      <c r="J74">
        <f t="shared" si="3"/>
        <v>0.73891801662595924</v>
      </c>
      <c r="K74" s="4">
        <f t="shared" si="4"/>
        <v>213.96022287433655</v>
      </c>
      <c r="M74" s="3">
        <f t="shared" si="9"/>
        <v>245.6400000000001</v>
      </c>
      <c r="N74">
        <f t="shared" si="10"/>
        <v>-107.6400000000001</v>
      </c>
      <c r="O74">
        <f t="shared" si="11"/>
        <v>-8.1746501162243135</v>
      </c>
      <c r="P74">
        <f t="shared" si="5"/>
        <v>227.78358136047007</v>
      </c>
      <c r="Q74">
        <f t="shared" si="12"/>
        <v>1.2063050562005628E-2</v>
      </c>
      <c r="R74">
        <f t="shared" si="13"/>
        <v>-8.705910132647432</v>
      </c>
      <c r="S74" s="4">
        <f t="shared" si="14"/>
        <v>385.85734120913253</v>
      </c>
    </row>
    <row r="75" spans="1:19" x14ac:dyDescent="0.5">
      <c r="A75" s="3"/>
      <c r="C75">
        <f t="shared" si="6"/>
        <v>-106.9500000000001</v>
      </c>
      <c r="D75" s="23">
        <f t="shared" si="0"/>
        <v>12.342099036402773</v>
      </c>
      <c r="E75" s="92">
        <f t="shared" si="7"/>
        <v>0</v>
      </c>
      <c r="F75" s="3">
        <f t="shared" si="8"/>
        <v>-8.3318388602101887</v>
      </c>
      <c r="G75" s="4">
        <f t="shared" si="1"/>
        <v>226.00410810087416</v>
      </c>
      <c r="I75" s="25">
        <f t="shared" si="2"/>
        <v>-7.5833767186850309</v>
      </c>
      <c r="J75">
        <f t="shared" si="3"/>
        <v>0.74846214152515778</v>
      </c>
      <c r="K75" s="4">
        <f t="shared" si="4"/>
        <v>212.58432880721119</v>
      </c>
      <c r="M75" s="3">
        <f t="shared" si="9"/>
        <v>244.9500000000001</v>
      </c>
      <c r="N75">
        <f t="shared" si="10"/>
        <v>-106.9500000000001</v>
      </c>
      <c r="O75">
        <f t="shared" si="11"/>
        <v>-8.3318207900813235</v>
      </c>
      <c r="P75">
        <f t="shared" si="5"/>
        <v>225.99535569697019</v>
      </c>
      <c r="Q75">
        <f t="shared" si="12"/>
        <v>1.8070128865232959E-2</v>
      </c>
      <c r="R75">
        <f t="shared" si="13"/>
        <v>-8.7524039039692525</v>
      </c>
      <c r="S75" s="4">
        <f t="shared" si="14"/>
        <v>386.60274177687432</v>
      </c>
    </row>
    <row r="76" spans="1:19" x14ac:dyDescent="0.5">
      <c r="A76" s="3"/>
      <c r="C76">
        <f t="shared" si="6"/>
        <v>-106.2600000000001</v>
      </c>
      <c r="D76" s="23">
        <f t="shared" si="0"/>
        <v>12.175923273818551</v>
      </c>
      <c r="E76" s="92">
        <f t="shared" si="7"/>
        <v>0</v>
      </c>
      <c r="F76" s="3">
        <f t="shared" si="8"/>
        <v>-8.4877816974548672</v>
      </c>
      <c r="G76" s="4">
        <f t="shared" si="1"/>
        <v>224.21936218332749</v>
      </c>
      <c r="I76" s="25">
        <f t="shared" si="2"/>
        <v>-7.730059907771647</v>
      </c>
      <c r="J76">
        <f t="shared" si="3"/>
        <v>0.75772178968322024</v>
      </c>
      <c r="K76" s="4">
        <f t="shared" si="4"/>
        <v>211.2082660214308</v>
      </c>
      <c r="M76" s="3">
        <f t="shared" si="9"/>
        <v>244.2600000000001</v>
      </c>
      <c r="N76">
        <f t="shared" si="10"/>
        <v>-106.2600000000001</v>
      </c>
      <c r="O76">
        <f t="shared" si="11"/>
        <v>-8.4877575881669998</v>
      </c>
      <c r="P76">
        <f t="shared" si="5"/>
        <v>224.21057787354175</v>
      </c>
      <c r="Q76">
        <f t="shared" si="12"/>
        <v>2.4109287867446483E-2</v>
      </c>
      <c r="R76">
        <f t="shared" si="13"/>
        <v>-8.784309785738742</v>
      </c>
      <c r="S76" s="4">
        <f t="shared" si="14"/>
        <v>387.3485216003258</v>
      </c>
    </row>
    <row r="77" spans="1:19" x14ac:dyDescent="0.5">
      <c r="A77" s="3"/>
      <c r="C77">
        <f t="shared" si="6"/>
        <v>-105.57000000000011</v>
      </c>
      <c r="D77" s="23">
        <f t="shared" si="0"/>
        <v>12.01097898597984</v>
      </c>
      <c r="E77" s="92">
        <f t="shared" si="7"/>
        <v>0</v>
      </c>
      <c r="F77" s="3">
        <f t="shared" si="8"/>
        <v>-8.6424930599540328</v>
      </c>
      <c r="G77" s="4">
        <f t="shared" si="1"/>
        <v>222.43803846194558</v>
      </c>
      <c r="I77" s="25">
        <f t="shared" si="2"/>
        <v>-7.8757936134934425</v>
      </c>
      <c r="J77">
        <f t="shared" si="3"/>
        <v>0.76669944646059029</v>
      </c>
      <c r="K77" s="4">
        <f t="shared" si="4"/>
        <v>209.83237195270081</v>
      </c>
      <c r="M77" s="3">
        <f t="shared" si="9"/>
        <v>243.57000000000011</v>
      </c>
      <c r="N77">
        <f t="shared" si="10"/>
        <v>-105.57000000000011</v>
      </c>
      <c r="O77">
        <f t="shared" si="11"/>
        <v>-8.6424628894921085</v>
      </c>
      <c r="P77">
        <f t="shared" si="5"/>
        <v>222.42923636448094</v>
      </c>
      <c r="Q77">
        <f t="shared" si="12"/>
        <v>3.0170461924328151E-2</v>
      </c>
      <c r="R77">
        <f t="shared" si="13"/>
        <v>-8.8020974646383365</v>
      </c>
      <c r="S77" s="4">
        <f t="shared" si="14"/>
        <v>388.09468467141778</v>
      </c>
    </row>
    <row r="78" spans="1:19" x14ac:dyDescent="0.5">
      <c r="A78" s="3"/>
      <c r="C78">
        <f t="shared" si="6"/>
        <v>-104.88000000000011</v>
      </c>
      <c r="D78" s="23">
        <f t="shared" si="0"/>
        <v>11.847263811570187</v>
      </c>
      <c r="E78" s="92">
        <f t="shared" si="7"/>
        <v>0</v>
      </c>
      <c r="F78" s="3">
        <f t="shared" si="8"/>
        <v>-8.7959753090241417</v>
      </c>
      <c r="G78" s="4">
        <f t="shared" si="1"/>
        <v>220.66012593047239</v>
      </c>
      <c r="I78" s="25">
        <f t="shared" si="2"/>
        <v>-8.0205779522657394</v>
      </c>
      <c r="J78">
        <f t="shared" si="3"/>
        <v>0.77539735675840227</v>
      </c>
      <c r="K78" s="4">
        <f t="shared" si="4"/>
        <v>208.45647788317635</v>
      </c>
      <c r="M78" s="3">
        <f t="shared" si="9"/>
        <v>242.88000000000011</v>
      </c>
      <c r="N78">
        <f t="shared" si="10"/>
        <v>-104.88000000000011</v>
      </c>
      <c r="O78">
        <f t="shared" si="11"/>
        <v>-8.7959390651146663</v>
      </c>
      <c r="P78">
        <f t="shared" si="5"/>
        <v>220.65131971874231</v>
      </c>
      <c r="Q78">
        <f t="shared" si="12"/>
        <v>3.6243909475430769E-2</v>
      </c>
      <c r="R78">
        <f t="shared" si="13"/>
        <v>-8.8062117300751197</v>
      </c>
      <c r="S78" s="4">
        <f t="shared" si="14"/>
        <v>388.84122722586636</v>
      </c>
    </row>
    <row r="79" spans="1:19" x14ac:dyDescent="0.5">
      <c r="A79" s="3"/>
      <c r="C79">
        <f t="shared" si="6"/>
        <v>-104.19000000000011</v>
      </c>
      <c r="D79" s="23">
        <f t="shared" si="0"/>
        <v>11.684775396867463</v>
      </c>
      <c r="E79" s="92">
        <f t="shared" si="7"/>
        <v>0</v>
      </c>
      <c r="F79" s="3">
        <f t="shared" si="8"/>
        <v>-8.9482307983873195</v>
      </c>
      <c r="G79" s="4">
        <f t="shared" si="1"/>
        <v>218.88561363215797</v>
      </c>
      <c r="I79" s="25">
        <f t="shared" si="2"/>
        <v>-8.1644129240885377</v>
      </c>
      <c r="J79">
        <f t="shared" si="3"/>
        <v>0.7838178742987818</v>
      </c>
      <c r="K79" s="4">
        <f t="shared" si="4"/>
        <v>207.08041509501217</v>
      </c>
      <c r="M79" s="3">
        <f t="shared" si="9"/>
        <v>242.19000000000011</v>
      </c>
      <c r="N79">
        <f t="shared" si="10"/>
        <v>-104.19000000000011</v>
      </c>
      <c r="O79">
        <f t="shared" si="11"/>
        <v>-8.9481884781914545</v>
      </c>
      <c r="P79">
        <f t="shared" si="5"/>
        <v>218.87681652389668</v>
      </c>
      <c r="Q79">
        <f t="shared" si="12"/>
        <v>4.2320195865030996E-2</v>
      </c>
      <c r="R79">
        <f t="shared" si="13"/>
        <v>-8.7971082612909868</v>
      </c>
      <c r="S79" s="4">
        <f t="shared" si="14"/>
        <v>389.58815118369347</v>
      </c>
    </row>
    <row r="80" spans="1:19" x14ac:dyDescent="0.5">
      <c r="A80" s="3"/>
      <c r="C80">
        <f t="shared" si="6"/>
        <v>-103.50000000000011</v>
      </c>
      <c r="D80" s="23">
        <f t="shared" si="0"/>
        <v>11.523511395709718</v>
      </c>
      <c r="E80" s="92">
        <f t="shared" si="7"/>
        <v>0</v>
      </c>
      <c r="F80" s="3">
        <f t="shared" si="8"/>
        <v>-9.0992618742055207</v>
      </c>
      <c r="G80" s="4">
        <f t="shared" si="1"/>
        <v>217.11449065941346</v>
      </c>
      <c r="I80" s="25">
        <f t="shared" si="2"/>
        <v>-8.3072984125465155</v>
      </c>
      <c r="J80">
        <f t="shared" si="3"/>
        <v>0.79196346165900522</v>
      </c>
      <c r="K80" s="4">
        <f t="shared" si="4"/>
        <v>205.70460538283962</v>
      </c>
      <c r="M80" s="3">
        <f t="shared" si="9"/>
        <v>241.50000000000011</v>
      </c>
      <c r="N80">
        <f t="shared" si="10"/>
        <v>-103.50000000000011</v>
      </c>
      <c r="O80">
        <f t="shared" si="11"/>
        <v>-9.0992134840046646</v>
      </c>
      <c r="P80">
        <f t="shared" si="5"/>
        <v>217.10571543187538</v>
      </c>
      <c r="Q80">
        <f t="shared" si="12"/>
        <v>4.8390200856118781E-2</v>
      </c>
      <c r="R80">
        <f t="shared" si="13"/>
        <v>-8.7752275380807987</v>
      </c>
      <c r="S80" s="4">
        <f t="shared" si="14"/>
        <v>390.3354545944988</v>
      </c>
    </row>
    <row r="81" spans="1:19" x14ac:dyDescent="0.5">
      <c r="A81" s="3"/>
      <c r="C81">
        <f t="shared" si="6"/>
        <v>-102.81000000000012</v>
      </c>
      <c r="D81" s="23">
        <f t="shared" si="0"/>
        <v>11.363469469461243</v>
      </c>
      <c r="E81" s="92">
        <f t="shared" si="7"/>
        <v>0</v>
      </c>
      <c r="F81" s="3">
        <f t="shared" si="8"/>
        <v>-9.2490708751144499</v>
      </c>
      <c r="G81" s="4">
        <f t="shared" si="1"/>
        <v>215.34674615360521</v>
      </c>
      <c r="I81" s="25">
        <f t="shared" si="2"/>
        <v>-8.4492345922626555</v>
      </c>
      <c r="J81">
        <f t="shared" si="3"/>
        <v>0.79983628285179442</v>
      </c>
      <c r="K81" s="4">
        <f t="shared" si="4"/>
        <v>204.3285425931123</v>
      </c>
      <c r="M81" s="3">
        <f t="shared" si="9"/>
        <v>240.81000000000012</v>
      </c>
      <c r="N81">
        <f t="shared" si="10"/>
        <v>-102.81000000000012</v>
      </c>
      <c r="O81">
        <f t="shared" si="11"/>
        <v>-9.2490164300063071</v>
      </c>
      <c r="P81">
        <f t="shared" si="5"/>
        <v>215.33800514094932</v>
      </c>
      <c r="Q81">
        <f t="shared" si="12"/>
        <v>5.444510814278658E-2</v>
      </c>
      <c r="R81">
        <f t="shared" si="13"/>
        <v>-8.7410126558893353</v>
      </c>
      <c r="S81" s="4">
        <f t="shared" si="14"/>
        <v>391.08314297525675</v>
      </c>
    </row>
    <row r="82" spans="1:19" x14ac:dyDescent="0.5">
      <c r="A82" s="3"/>
      <c r="C82">
        <f t="shared" si="6"/>
        <v>-102.12000000000012</v>
      </c>
      <c r="D82" s="23">
        <f t="shared" si="0"/>
        <v>11.204647286978808</v>
      </c>
      <c r="E82" s="92">
        <f t="shared" si="7"/>
        <v>0</v>
      </c>
      <c r="F82" s="3">
        <f t="shared" si="8"/>
        <v>-9.3976601322573412</v>
      </c>
      <c r="G82" s="4">
        <f t="shared" si="1"/>
        <v>213.58236930468919</v>
      </c>
      <c r="I82" s="25">
        <f t="shared" si="2"/>
        <v>-8.590221288613975</v>
      </c>
      <c r="J82">
        <f t="shared" si="3"/>
        <v>0.80743884364336616</v>
      </c>
      <c r="K82" s="4">
        <f t="shared" si="4"/>
        <v>202.95264852046193</v>
      </c>
      <c r="M82" s="3">
        <f t="shared" si="9"/>
        <v>240.12000000000012</v>
      </c>
      <c r="N82">
        <f t="shared" si="10"/>
        <v>-102.12000000000012</v>
      </c>
      <c r="O82">
        <f t="shared" si="11"/>
        <v>-9.3975996558501862</v>
      </c>
      <c r="P82">
        <f t="shared" si="5"/>
        <v>213.57367442919667</v>
      </c>
      <c r="Q82">
        <f t="shared" si="12"/>
        <v>6.0476407155007905E-2</v>
      </c>
      <c r="R82">
        <f t="shared" si="13"/>
        <v>-8.6948754925231242</v>
      </c>
      <c r="S82" s="4">
        <f t="shared" si="14"/>
        <v>391.83120940370054</v>
      </c>
    </row>
    <row r="83" spans="1:19" x14ac:dyDescent="0.5">
      <c r="A83" s="3"/>
      <c r="C83">
        <f t="shared" si="6"/>
        <v>-101.43000000000012</v>
      </c>
      <c r="D83" s="23">
        <f t="shared" si="0"/>
        <v>11.047042524578119</v>
      </c>
      <c r="E83" s="92">
        <f t="shared" si="7"/>
        <v>0</v>
      </c>
      <c r="F83" s="3">
        <f t="shared" si="8"/>
        <v>-9.5450319693184849</v>
      </c>
      <c r="G83" s="4">
        <f t="shared" si="1"/>
        <v>211.8213493510309</v>
      </c>
      <c r="I83" s="25">
        <f t="shared" si="2"/>
        <v>-8.7302586180157959</v>
      </c>
      <c r="J83">
        <f t="shared" si="3"/>
        <v>0.81477335130268891</v>
      </c>
      <c r="K83" s="4">
        <f t="shared" si="4"/>
        <v>201.57667008811774</v>
      </c>
      <c r="M83" s="3">
        <f t="shared" si="9"/>
        <v>239.43000000000012</v>
      </c>
      <c r="N83">
        <f t="shared" si="10"/>
        <v>-101.43000000000012</v>
      </c>
      <c r="O83">
        <f t="shared" si="11"/>
        <v>-9.5449654934469663</v>
      </c>
      <c r="P83">
        <f t="shared" si="5"/>
        <v>211.81271209786513</v>
      </c>
      <c r="Q83">
        <f t="shared" si="12"/>
        <v>6.6475871518534291E-2</v>
      </c>
      <c r="R83">
        <f t="shared" si="13"/>
        <v>-8.6372531657730178</v>
      </c>
      <c r="S83" s="4">
        <f t="shared" si="14"/>
        <v>392.57966245516144</v>
      </c>
    </row>
    <row r="84" spans="1:19" x14ac:dyDescent="0.5">
      <c r="A84" s="3"/>
      <c r="C84">
        <f t="shared" si="6"/>
        <v>-100.74000000000012</v>
      </c>
      <c r="D84" s="23">
        <f t="shared" si="0"/>
        <v>10.89065286600043</v>
      </c>
      <c r="E84" s="92">
        <f t="shared" si="7"/>
        <v>0</v>
      </c>
      <c r="F84" s="3">
        <f t="shared" si="8"/>
        <v>-9.6911887025566301</v>
      </c>
      <c r="G84" s="4">
        <f t="shared" si="1"/>
        <v>210.06367557903687</v>
      </c>
      <c r="I84" s="25">
        <f t="shared" si="2"/>
        <v>-8.8693465222604573</v>
      </c>
      <c r="J84">
        <f t="shared" si="3"/>
        <v>0.82184218029617284</v>
      </c>
      <c r="K84" s="4">
        <f t="shared" si="4"/>
        <v>200.20069165501025</v>
      </c>
      <c r="M84" s="3">
        <f t="shared" si="9"/>
        <v>238.74000000000012</v>
      </c>
      <c r="N84">
        <f t="shared" si="10"/>
        <v>-100.74000000000012</v>
      </c>
      <c r="O84">
        <f t="shared" si="11"/>
        <v>-9.6911162669801598</v>
      </c>
      <c r="P84">
        <f t="shared" si="5"/>
        <v>210.05510704088181</v>
      </c>
      <c r="Q84">
        <f t="shared" si="12"/>
        <v>7.2435576470297747E-2</v>
      </c>
      <c r="R84">
        <f t="shared" si="13"/>
        <v>-8.5685381550604234</v>
      </c>
      <c r="S84" s="4">
        <f t="shared" si="14"/>
        <v>393.32849417470578</v>
      </c>
    </row>
    <row r="85" spans="1:19" x14ac:dyDescent="0.5">
      <c r="A85" s="3"/>
      <c r="C85">
        <f t="shared" si="6"/>
        <v>-100.05000000000013</v>
      </c>
      <c r="D85" s="23">
        <f t="shared" si="0"/>
        <v>10.735476002379382</v>
      </c>
      <c r="E85" s="92">
        <f t="shared" si="7"/>
        <v>0</v>
      </c>
      <c r="F85" s="3">
        <f t="shared" si="8"/>
        <v>-9.8361326408381338</v>
      </c>
      <c r="G85" s="4">
        <f t="shared" si="1"/>
        <v>208.30933732294139</v>
      </c>
      <c r="I85" s="25">
        <f t="shared" si="2"/>
        <v>-9.007485001347959</v>
      </c>
      <c r="J85">
        <f t="shared" si="3"/>
        <v>0.82864763949017473</v>
      </c>
      <c r="K85" s="4">
        <f t="shared" si="4"/>
        <v>198.82479758007022</v>
      </c>
      <c r="M85" s="3">
        <f t="shared" si="9"/>
        <v>238.05000000000013</v>
      </c>
      <c r="N85">
        <f t="shared" si="10"/>
        <v>-100.05000000000013</v>
      </c>
      <c r="O85">
        <f t="shared" si="11"/>
        <v>-9.8360542929700756</v>
      </c>
      <c r="P85">
        <f t="shared" si="5"/>
        <v>208.30084817019466</v>
      </c>
      <c r="Q85">
        <f t="shared" si="12"/>
        <v>7.834786805815952E-2</v>
      </c>
      <c r="R85">
        <f t="shared" si="13"/>
        <v>-8.4891527467334527</v>
      </c>
      <c r="S85" s="4">
        <f t="shared" si="14"/>
        <v>394.07770988964234</v>
      </c>
    </row>
    <row r="86" spans="1:19" x14ac:dyDescent="0.5">
      <c r="A86" s="3"/>
      <c r="C86">
        <f t="shared" si="6"/>
        <v>-99.360000000000127</v>
      </c>
      <c r="D86" s="23">
        <f t="shared" si="0"/>
        <v>10.581509632208009</v>
      </c>
      <c r="E86" s="92">
        <f t="shared" si="7"/>
        <v>0</v>
      </c>
      <c r="F86" s="3">
        <f t="shared" si="8"/>
        <v>-9.9798660856699613</v>
      </c>
      <c r="G86" s="4">
        <f t="shared" si="1"/>
        <v>206.5583239645257</v>
      </c>
      <c r="I86" s="25">
        <f t="shared" si="2"/>
        <v>-9.1446741134859622</v>
      </c>
      <c r="J86">
        <f t="shared" si="3"/>
        <v>0.8351919721839991</v>
      </c>
      <c r="K86" s="4">
        <f t="shared" si="4"/>
        <v>197.44881914545184</v>
      </c>
      <c r="M86" s="3">
        <f t="shared" si="9"/>
        <v>237.36000000000013</v>
      </c>
      <c r="N86">
        <f t="shared" si="10"/>
        <v>-99.360000000000127</v>
      </c>
      <c r="O86">
        <f t="shared" si="11"/>
        <v>-9.9797818802862537</v>
      </c>
      <c r="P86">
        <f t="shared" si="5"/>
        <v>206.54992447498432</v>
      </c>
      <c r="Q86">
        <f t="shared" si="12"/>
        <v>8.4205383707569581E-2</v>
      </c>
      <c r="R86">
        <f t="shared" si="13"/>
        <v>-8.3994895413752602</v>
      </c>
      <c r="S86" s="4">
        <f t="shared" si="14"/>
        <v>394.82730985123726</v>
      </c>
    </row>
    <row r="87" spans="1:19" x14ac:dyDescent="0.5">
      <c r="A87" s="3"/>
      <c r="C87">
        <f t="shared" si="6"/>
        <v>-98.67000000000013</v>
      </c>
      <c r="D87" s="23">
        <f t="shared" si="0"/>
        <v>10.428751461305932</v>
      </c>
      <c r="E87" s="92">
        <f t="shared" si="7"/>
        <v>0</v>
      </c>
      <c r="F87" s="3">
        <f t="shared" si="8"/>
        <v>-10.122391331232494</v>
      </c>
      <c r="G87" s="4">
        <f t="shared" si="1"/>
        <v>204.8106249328039</v>
      </c>
      <c r="I87" s="25">
        <f t="shared" si="2"/>
        <v>-9.2809138004668057</v>
      </c>
      <c r="J87">
        <f t="shared" si="3"/>
        <v>0.84147753076568854</v>
      </c>
      <c r="K87" s="4">
        <f t="shared" si="4"/>
        <v>196.07284071008573</v>
      </c>
      <c r="M87" s="3">
        <f t="shared" si="9"/>
        <v>236.67000000000013</v>
      </c>
      <c r="N87">
        <f t="shared" si="10"/>
        <v>-98.67000000000013</v>
      </c>
      <c r="O87">
        <f t="shared" si="11"/>
        <v>-10.122301330200756</v>
      </c>
      <c r="P87">
        <f t="shared" si="5"/>
        <v>204.80232499849427</v>
      </c>
      <c r="Q87">
        <f t="shared" si="12"/>
        <v>9.0001031738395909E-2</v>
      </c>
      <c r="R87">
        <f t="shared" si="13"/>
        <v>-8.2999343096332723</v>
      </c>
      <c r="S87" s="4">
        <f t="shared" si="14"/>
        <v>395.57729205579511</v>
      </c>
    </row>
    <row r="88" spans="1:19" x14ac:dyDescent="0.5">
      <c r="A88" s="3"/>
      <c r="C88">
        <f t="shared" si="6"/>
        <v>-97.980000000000132</v>
      </c>
      <c r="D88" s="23">
        <f t="shared" si="0"/>
        <v>10.277199202786759</v>
      </c>
      <c r="E88" s="92">
        <f t="shared" si="7"/>
        <v>0</v>
      </c>
      <c r="F88" s="3">
        <f t="shared" si="8"/>
        <v>-10.263710664412121</v>
      </c>
      <c r="G88" s="4">
        <f t="shared" si="1"/>
        <v>203.06622970383</v>
      </c>
      <c r="I88" s="25">
        <f t="shared" si="2"/>
        <v>-9.4162040622904897</v>
      </c>
      <c r="J88">
        <f t="shared" si="3"/>
        <v>0.84750660212163176</v>
      </c>
      <c r="K88" s="4">
        <f t="shared" si="4"/>
        <v>194.69703099182854</v>
      </c>
      <c r="M88" s="3">
        <f t="shared" si="9"/>
        <v>235.98000000000013</v>
      </c>
      <c r="N88">
        <f t="shared" si="10"/>
        <v>-97.980000000000132</v>
      </c>
      <c r="O88">
        <f t="shared" si="11"/>
        <v>-10.263614936425469</v>
      </c>
      <c r="P88">
        <f t="shared" si="5"/>
        <v>203.0580388277333</v>
      </c>
      <c r="Q88">
        <f t="shared" si="12"/>
        <v>9.5727986652249797E-2</v>
      </c>
      <c r="R88">
        <f t="shared" si="13"/>
        <v>-8.190876096705324</v>
      </c>
      <c r="S88" s="4">
        <f t="shared" si="14"/>
        <v>396.3276598197848</v>
      </c>
    </row>
    <row r="89" spans="1:19" x14ac:dyDescent="0.5">
      <c r="A89" s="3"/>
      <c r="C89">
        <f t="shared" si="6"/>
        <v>-97.290000000000134</v>
      </c>
      <c r="D89" s="23">
        <f t="shared" si="0"/>
        <v>10.126850577025641</v>
      </c>
      <c r="E89" s="92">
        <f t="shared" si="7"/>
        <v>0</v>
      </c>
      <c r="F89" s="3">
        <f t="shared" si="8"/>
        <v>-10.403826364833696</v>
      </c>
      <c r="G89" s="4">
        <f t="shared" si="1"/>
        <v>201.32512780033983</v>
      </c>
      <c r="I89" s="25">
        <f t="shared" si="2"/>
        <v>-9.5505450153723359</v>
      </c>
      <c r="J89">
        <f t="shared" si="3"/>
        <v>0.85328134946136025</v>
      </c>
      <c r="K89" s="4">
        <f t="shared" si="4"/>
        <v>193.32096819605715</v>
      </c>
      <c r="M89" s="3">
        <f t="shared" si="9"/>
        <v>235.29000000000013</v>
      </c>
      <c r="N89">
        <f t="shared" si="10"/>
        <v>-97.290000000000134</v>
      </c>
      <c r="O89">
        <f t="shared" si="11"/>
        <v>-10.403724985142304</v>
      </c>
      <c r="P89">
        <f t="shared" si="5"/>
        <v>201.31705511664498</v>
      </c>
      <c r="Q89">
        <f t="shared" si="12"/>
        <v>0.10137969139201175</v>
      </c>
      <c r="R89">
        <f t="shared" si="13"/>
        <v>-8.0726836948485925</v>
      </c>
      <c r="S89" s="4">
        <f t="shared" si="14"/>
        <v>397.07840717366992</v>
      </c>
    </row>
    <row r="90" spans="1:19" x14ac:dyDescent="0.5">
      <c r="A90" s="3"/>
      <c r="C90">
        <f t="shared" si="6"/>
        <v>-96.600000000000136</v>
      </c>
      <c r="D90" s="23">
        <f t="shared" si="0"/>
        <v>9.9777033116270442</v>
      </c>
      <c r="E90" s="92">
        <f t="shared" si="7"/>
        <v>0</v>
      </c>
      <c r="F90" s="3">
        <f t="shared" si="8"/>
        <v>-10.542740704892747</v>
      </c>
      <c r="G90" s="4">
        <f t="shared" si="1"/>
        <v>199.58730879159177</v>
      </c>
      <c r="I90" s="25">
        <f t="shared" si="2"/>
        <v>-9.6839364850893617</v>
      </c>
      <c r="J90">
        <f t="shared" si="3"/>
        <v>0.85880421980338539</v>
      </c>
      <c r="K90" s="4">
        <f t="shared" si="4"/>
        <v>191.94498975847938</v>
      </c>
      <c r="M90" s="3">
        <f t="shared" si="9"/>
        <v>234.60000000000014</v>
      </c>
      <c r="N90">
        <f t="shared" si="10"/>
        <v>-96.600000000000136</v>
      </c>
      <c r="O90">
        <f t="shared" si="11"/>
        <v>-10.54263375504938</v>
      </c>
      <c r="P90">
        <f t="shared" si="5"/>
        <v>199.57936304491716</v>
      </c>
      <c r="Q90">
        <f t="shared" si="12"/>
        <v>0.10694984336723223</v>
      </c>
      <c r="R90">
        <f t="shared" si="13"/>
        <v>-7.9457466746077898</v>
      </c>
      <c r="S90" s="4">
        <f t="shared" si="14"/>
        <v>397.82954407656973</v>
      </c>
    </row>
    <row r="91" spans="1:19" x14ac:dyDescent="0.5">
      <c r="A91" s="3"/>
      <c r="C91">
        <f t="shared" si="6"/>
        <v>-95.910000000000139</v>
      </c>
      <c r="D91" s="23">
        <f t="shared" si="0"/>
        <v>9.8297551413926687</v>
      </c>
      <c r="E91" s="92">
        <f t="shared" si="7"/>
        <v>0</v>
      </c>
      <c r="F91" s="3">
        <f t="shared" si="8"/>
        <v>-10.680455949787579</v>
      </c>
      <c r="G91" s="4">
        <f t="shared" si="1"/>
        <v>197.85276229299313</v>
      </c>
      <c r="I91" s="25">
        <f t="shared" si="2"/>
        <v>-9.8163785296492279</v>
      </c>
      <c r="J91">
        <f t="shared" si="3"/>
        <v>0.86407742013835076</v>
      </c>
      <c r="K91" s="4">
        <f t="shared" si="4"/>
        <v>190.5690956791006</v>
      </c>
      <c r="M91" s="3">
        <f t="shared" si="9"/>
        <v>233.91000000000014</v>
      </c>
      <c r="N91">
        <f t="shared" si="10"/>
        <v>-95.910000000000139</v>
      </c>
      <c r="O91">
        <f t="shared" si="11"/>
        <v>-10.680343517378788</v>
      </c>
      <c r="P91">
        <f t="shared" si="5"/>
        <v>197.84495188749142</v>
      </c>
      <c r="Q91">
        <f t="shared" si="12"/>
        <v>0.11243240879110772</v>
      </c>
      <c r="R91">
        <f t="shared" si="13"/>
        <v>-7.8104055017149676</v>
      </c>
      <c r="S91" s="4">
        <f t="shared" si="14"/>
        <v>398.58106056082045</v>
      </c>
    </row>
    <row r="92" spans="1:19" x14ac:dyDescent="0.5">
      <c r="A92" s="3"/>
      <c r="C92">
        <f t="shared" si="6"/>
        <v>-95.220000000000141</v>
      </c>
      <c r="D92" s="23">
        <f t="shared" si="0"/>
        <v>9.6830038082895875</v>
      </c>
      <c r="E92" s="92">
        <f t="shared" si="7"/>
        <v>0</v>
      </c>
      <c r="F92" s="3">
        <f t="shared" si="8"/>
        <v>-10.816974357551114</v>
      </c>
      <c r="G92" s="4">
        <f t="shared" si="1"/>
        <v>196.12147796594078</v>
      </c>
      <c r="I92" s="25">
        <f t="shared" si="2"/>
        <v>-9.9478712072595954</v>
      </c>
      <c r="J92">
        <f t="shared" si="3"/>
        <v>0.86910315029151874</v>
      </c>
      <c r="K92" s="4">
        <f t="shared" si="4"/>
        <v>189.19311724007443</v>
      </c>
      <c r="M92" s="3">
        <f t="shared" si="9"/>
        <v>233.22000000000014</v>
      </c>
      <c r="N92">
        <f t="shared" si="10"/>
        <v>-95.220000000000141</v>
      </c>
      <c r="O92">
        <f t="shared" si="11"/>
        <v>-10.816856535962316</v>
      </c>
      <c r="P92">
        <f t="shared" si="5"/>
        <v>196.11381092703249</v>
      </c>
      <c r="Q92">
        <f t="shared" si="12"/>
        <v>0.11782158879825033</v>
      </c>
      <c r="R92">
        <f t="shared" si="13"/>
        <v>-7.6670389082948986</v>
      </c>
      <c r="S92" s="4">
        <f t="shared" si="14"/>
        <v>399.33296621679096</v>
      </c>
    </row>
    <row r="93" spans="1:19" x14ac:dyDescent="0.5">
      <c r="A93" s="3"/>
      <c r="C93">
        <f t="shared" si="6"/>
        <v>-94.530000000000143</v>
      </c>
      <c r="D93" s="23">
        <f t="shared" si="0"/>
        <v>9.5374470614185292</v>
      </c>
      <c r="E93" s="92">
        <f t="shared" si="7"/>
        <v>0</v>
      </c>
      <c r="F93" s="3">
        <f t="shared" si="8"/>
        <v>-10.952298179082629</v>
      </c>
      <c r="G93" s="4">
        <f t="shared" si="1"/>
        <v>194.39344551748113</v>
      </c>
      <c r="I93" s="25">
        <f t="shared" si="2"/>
        <v>-10.078414459712803</v>
      </c>
      <c r="J93">
        <f t="shared" si="3"/>
        <v>0.87388371936982523</v>
      </c>
      <c r="K93" s="4">
        <f t="shared" si="4"/>
        <v>187.81722315925776</v>
      </c>
      <c r="M93" s="3">
        <f t="shared" si="9"/>
        <v>232.53000000000014</v>
      </c>
      <c r="N93">
        <f t="shared" si="10"/>
        <v>-94.530000000000143</v>
      </c>
      <c r="O93">
        <f t="shared" si="11"/>
        <v>-10.95217506723678</v>
      </c>
      <c r="P93">
        <f t="shared" si="5"/>
        <v>194.38592953888431</v>
      </c>
      <c r="Q93">
        <f t="shared" si="12"/>
        <v>0.12311184584845591</v>
      </c>
      <c r="R93">
        <f t="shared" si="13"/>
        <v>-7.5159785968139659</v>
      </c>
      <c r="S93" s="4">
        <f t="shared" si="14"/>
        <v>400.08525472968802</v>
      </c>
    </row>
    <row r="94" spans="1:19" x14ac:dyDescent="0.5">
      <c r="A94" s="3"/>
      <c r="C94">
        <f t="shared" si="6"/>
        <v>-93.840000000000146</v>
      </c>
      <c r="D94" s="23">
        <f t="shared" ref="D94:D157" si="15">+($B$35*C94^2+$B$36*C94^3+$B$37*C94^4+$B$38*C94^5+$B$39*C94^6+$B$40*C94^7+$B$41*C94^8+$B$42*C94^9+$B$43*C94^10)*1000</f>
        <v>9.3930826569823651</v>
      </c>
      <c r="E94" s="92">
        <f t="shared" si="7"/>
        <v>0</v>
      </c>
      <c r="F94" s="3">
        <f t="shared" si="8"/>
        <v>-11.086429658179247</v>
      </c>
      <c r="G94" s="4">
        <f t="shared" ref="G94:G157" si="16">+ATAN((F94-F95)/(1000*$F$19))*1000000</f>
        <v>192.66865470008119</v>
      </c>
      <c r="I94" s="25">
        <f t="shared" ref="I94:I157" si="17">(+I$25-(I$25^2-C94^2)^0.5)*1000-(+I$25-(I$25^2-C$30^2)^0.5)*1000</f>
        <v>-10.208008345216513</v>
      </c>
      <c r="J94">
        <f t="shared" ref="J94:J157" si="18">+(I94-F94)</f>
        <v>0.87842131296273429</v>
      </c>
      <c r="K94" s="4">
        <f t="shared" ref="K94:K157" si="19">+ATAN((I94-I95)/(1000*$F$19))*1000000</f>
        <v>186.44116035987813</v>
      </c>
      <c r="M94" s="3">
        <f t="shared" si="9"/>
        <v>231.84000000000015</v>
      </c>
      <c r="N94">
        <f t="shared" si="10"/>
        <v>-93.840000000000146</v>
      </c>
      <c r="O94">
        <f t="shared" si="11"/>
        <v>-11.086301360307971</v>
      </c>
      <c r="P94">
        <f t="shared" ref="P94:P157" si="20">+ATAN((O94-O95)/(1000*$F$19))*1000000</f>
        <v>192.66129712156069</v>
      </c>
      <c r="Q94">
        <f t="shared" si="12"/>
        <v>0.12829787127621728</v>
      </c>
      <c r="R94">
        <f t="shared" si="13"/>
        <v>-7.3575785204980093</v>
      </c>
      <c r="S94" s="4">
        <f t="shared" si="14"/>
        <v>400.83793115325602</v>
      </c>
    </row>
    <row r="95" spans="1:19" x14ac:dyDescent="0.5">
      <c r="A95" s="3"/>
      <c r="C95">
        <f t="shared" ref="C95:C158" si="21">+C94+$F$19</f>
        <v>-93.150000000000148</v>
      </c>
      <c r="D95" s="23">
        <f t="shared" si="15"/>
        <v>9.2499083582547836</v>
      </c>
      <c r="E95" s="92">
        <f t="shared" ref="E95:E158" si="22">IF($B$20="YES",($E$25*$F$18^2/16/$O$3/$O$24*C95^2-$E$25/24/$O$3/$O$24*C95^4)*1000,0)</f>
        <v>0</v>
      </c>
      <c r="F95" s="3">
        <f t="shared" ref="F95:F158" si="23">+D95-$D$30+($F$18/2+C95)/$F$18*($D$30-D$430)+E95-MAX($E$30,$E$430)</f>
        <v>-11.219371031567285</v>
      </c>
      <c r="G95" s="4">
        <f t="shared" si="16"/>
        <v>190.94709531140697</v>
      </c>
      <c r="I95" s="25">
        <f t="shared" si="17"/>
        <v>-10.336652747355402</v>
      </c>
      <c r="J95">
        <f t="shared" si="18"/>
        <v>0.88271828421188303</v>
      </c>
      <c r="K95" s="4">
        <f t="shared" si="19"/>
        <v>185.06526627764433</v>
      </c>
      <c r="M95" s="3">
        <f t="shared" ref="M95:M158" si="24">+M94-$F$19</f>
        <v>231.15000000000015</v>
      </c>
      <c r="N95">
        <f t="shared" ref="N95:N158" si="25">+N94+$F$19</f>
        <v>-93.150000000000148</v>
      </c>
      <c r="O95">
        <f t="shared" ref="O95:O158" si="26">IF($O$9=0,(-$O$13*N95^3/6/$O$14+$O$12*N95^2/2/$O$14+$O$16*N95+$O$17)*1000,($O$18*(($O$14+$O$15*N95)/$O$15*LN($O$14+$O$15*N95)-N95)-$O$13*N95^2/(2*$O$15)+$O$16*N95+$O$17)*1000)</f>
        <v>-11.219237656966641</v>
      </c>
      <c r="P95">
        <f t="shared" si="20"/>
        <v>190.93990314565929</v>
      </c>
      <c r="Q95">
        <f t="shared" ref="Q95:Q158" si="27">+(O95-F95)*1000</f>
        <v>0.13337460064377638</v>
      </c>
      <c r="R95">
        <f t="shared" ref="R95:R158" si="28">+(P95-(G95))*1000</f>
        <v>-7.192165747682111</v>
      </c>
      <c r="S95" s="4">
        <f t="shared" ref="S95:S158" si="29">ABS(1000/((P96-P95)/(N96-N95)))</f>
        <v>401.59098745338787</v>
      </c>
    </row>
    <row r="96" spans="1:19" x14ac:dyDescent="0.5">
      <c r="A96" s="3"/>
      <c r="C96">
        <f t="shared" si="21"/>
        <v>-92.46000000000015</v>
      </c>
      <c r="D96" s="23">
        <f t="shared" si="15"/>
        <v>9.1079219355490899</v>
      </c>
      <c r="E96" s="92">
        <f t="shared" si="22"/>
        <v>0</v>
      </c>
      <c r="F96" s="3">
        <f t="shared" si="23"/>
        <v>-11.351124528933434</v>
      </c>
      <c r="G96" s="4">
        <f t="shared" si="16"/>
        <v>189.22875719400969</v>
      </c>
      <c r="I96" s="25">
        <f t="shared" si="17"/>
        <v>-10.464347782544792</v>
      </c>
      <c r="J96">
        <f t="shared" si="18"/>
        <v>0.88677674638864268</v>
      </c>
      <c r="K96" s="4">
        <f t="shared" si="19"/>
        <v>183.68937219470988</v>
      </c>
      <c r="M96" s="3">
        <f t="shared" si="24"/>
        <v>230.46000000000015</v>
      </c>
      <c r="N96">
        <f t="shared" si="25"/>
        <v>-92.46000000000015</v>
      </c>
      <c r="O96">
        <f t="shared" si="26"/>
        <v>-11.350986191738244</v>
      </c>
      <c r="P96">
        <f t="shared" si="20"/>
        <v>189.22173709722404</v>
      </c>
      <c r="Q96">
        <f t="shared" si="27"/>
        <v>0.13833719519062981</v>
      </c>
      <c r="R96">
        <f t="shared" si="28"/>
        <v>-7.0200967856521856</v>
      </c>
      <c r="S96" s="4">
        <f t="shared" si="29"/>
        <v>402.34443548020721</v>
      </c>
    </row>
    <row r="97" spans="1:19" x14ac:dyDescent="0.5">
      <c r="A97" s="3"/>
      <c r="C97">
        <f t="shared" si="21"/>
        <v>-91.770000000000152</v>
      </c>
      <c r="D97" s="23">
        <f t="shared" si="15"/>
        <v>8.9671211661872405</v>
      </c>
      <c r="E97" s="92">
        <f t="shared" si="22"/>
        <v>0</v>
      </c>
      <c r="F97" s="3">
        <f t="shared" si="23"/>
        <v>-11.481692372955738</v>
      </c>
      <c r="G97" s="4">
        <f t="shared" si="16"/>
        <v>187.51363023512465</v>
      </c>
      <c r="I97" s="25">
        <f t="shared" si="17"/>
        <v>-10.591093450784683</v>
      </c>
      <c r="J97">
        <f t="shared" si="18"/>
        <v>0.89059892217105485</v>
      </c>
      <c r="K97" s="4">
        <f t="shared" si="19"/>
        <v>182.3133093932278</v>
      </c>
      <c r="M97" s="3">
        <f t="shared" si="24"/>
        <v>229.77000000000015</v>
      </c>
      <c r="N97">
        <f t="shared" si="25"/>
        <v>-91.770000000000152</v>
      </c>
      <c r="O97">
        <f t="shared" si="26"/>
        <v>-11.481549191893592</v>
      </c>
      <c r="P97">
        <f t="shared" si="20"/>
        <v>187.5067885627017</v>
      </c>
      <c r="Q97">
        <f t="shared" si="27"/>
        <v>0.14318106214616932</v>
      </c>
      <c r="R97">
        <f t="shared" si="28"/>
        <v>-6.8416724229507508</v>
      </c>
      <c r="S97" s="4">
        <f t="shared" si="29"/>
        <v>403.09827036035881</v>
      </c>
    </row>
    <row r="98" spans="1:19" x14ac:dyDescent="0.5">
      <c r="A98" s="3"/>
      <c r="C98">
        <f t="shared" si="21"/>
        <v>-91.080000000000155</v>
      </c>
      <c r="D98" s="23">
        <f t="shared" si="15"/>
        <v>8.8275038344690167</v>
      </c>
      <c r="E98" s="92">
        <f t="shared" si="22"/>
        <v>0</v>
      </c>
      <c r="F98" s="3">
        <f t="shared" si="23"/>
        <v>-11.611076779334418</v>
      </c>
      <c r="G98" s="4">
        <f t="shared" si="16"/>
        <v>185.8017043663651</v>
      </c>
      <c r="I98" s="25">
        <f t="shared" si="17"/>
        <v>-10.716889635659754</v>
      </c>
      <c r="J98">
        <f t="shared" si="18"/>
        <v>0.89418714367466379</v>
      </c>
      <c r="K98" s="4">
        <f t="shared" si="19"/>
        <v>180.93741530890753</v>
      </c>
      <c r="M98" s="3">
        <f t="shared" si="24"/>
        <v>229.08000000000015</v>
      </c>
      <c r="N98">
        <f t="shared" si="25"/>
        <v>-91.080000000000155</v>
      </c>
      <c r="O98">
        <f t="shared" si="26"/>
        <v>-11.610928877518134</v>
      </c>
      <c r="P98">
        <f t="shared" si="20"/>
        <v>185.79504715685752</v>
      </c>
      <c r="Q98">
        <f t="shared" si="27"/>
        <v>0.14790181628399068</v>
      </c>
      <c r="R98">
        <f t="shared" si="28"/>
        <v>-6.6572095075798643</v>
      </c>
      <c r="S98" s="4">
        <f t="shared" si="29"/>
        <v>403.85248539412936</v>
      </c>
    </row>
    <row r="99" spans="1:19" x14ac:dyDescent="0.5">
      <c r="A99" s="3"/>
      <c r="C99">
        <f t="shared" si="21"/>
        <v>-90.390000000000157</v>
      </c>
      <c r="D99" s="23">
        <f t="shared" si="15"/>
        <v>8.6890677316413907</v>
      </c>
      <c r="E99" s="92">
        <f t="shared" si="22"/>
        <v>0</v>
      </c>
      <c r="F99" s="3">
        <f t="shared" si="23"/>
        <v>-11.739279956822498</v>
      </c>
      <c r="G99" s="4">
        <f t="shared" si="16"/>
        <v>184.09296956353933</v>
      </c>
      <c r="I99" s="25">
        <f t="shared" si="17"/>
        <v>-10.841736453585327</v>
      </c>
      <c r="J99">
        <f t="shared" si="18"/>
        <v>0.89754350323717169</v>
      </c>
      <c r="K99" s="4">
        <f t="shared" si="19"/>
        <v>179.56152122390219</v>
      </c>
      <c r="M99" s="3">
        <f t="shared" si="24"/>
        <v>228.39000000000016</v>
      </c>
      <c r="N99">
        <f t="shared" si="25"/>
        <v>-90.390000000000157</v>
      </c>
      <c r="O99">
        <f t="shared" si="26"/>
        <v>-11.739127461531496</v>
      </c>
      <c r="P99">
        <f t="shared" si="20"/>
        <v>184.08650251505196</v>
      </c>
      <c r="Q99">
        <f t="shared" si="27"/>
        <v>0.15249529100280768</v>
      </c>
      <c r="R99">
        <f t="shared" si="28"/>
        <v>-6.4670484873659007</v>
      </c>
      <c r="S99" s="4">
        <f t="shared" si="29"/>
        <v>404.60709706448955</v>
      </c>
    </row>
    <row r="100" spans="1:19" x14ac:dyDescent="0.5">
      <c r="A100" s="3"/>
      <c r="C100">
        <f t="shared" si="21"/>
        <v>-89.700000000000159</v>
      </c>
      <c r="D100" s="23">
        <f t="shared" si="15"/>
        <v>8.5518106558680458</v>
      </c>
      <c r="E100" s="92">
        <f t="shared" si="22"/>
        <v>0</v>
      </c>
      <c r="F100" s="3">
        <f t="shared" si="23"/>
        <v>-11.866304107256299</v>
      </c>
      <c r="G100" s="4">
        <f t="shared" si="16"/>
        <v>182.38741584634695</v>
      </c>
      <c r="I100" s="25">
        <f t="shared" si="17"/>
        <v>-10.9656339045614</v>
      </c>
      <c r="J100">
        <f t="shared" si="18"/>
        <v>0.90067020269489895</v>
      </c>
      <c r="K100" s="4">
        <f t="shared" si="19"/>
        <v>178.18554277929078</v>
      </c>
      <c r="M100" s="3">
        <f t="shared" si="24"/>
        <v>227.70000000000016</v>
      </c>
      <c r="N100">
        <f t="shared" si="25"/>
        <v>-89.700000000000159</v>
      </c>
      <c r="O100">
        <f t="shared" si="26"/>
        <v>-11.866147149701689</v>
      </c>
      <c r="P100">
        <f t="shared" si="20"/>
        <v>182.38114439106923</v>
      </c>
      <c r="Q100">
        <f t="shared" si="27"/>
        <v>0.15695755461031524</v>
      </c>
      <c r="R100">
        <f t="shared" si="28"/>
        <v>-6.2714552777265453</v>
      </c>
      <c r="S100" s="4">
        <f t="shared" si="29"/>
        <v>405.36208416257199</v>
      </c>
    </row>
    <row r="101" spans="1:19" x14ac:dyDescent="0.5">
      <c r="A101" s="3"/>
      <c r="C101">
        <f t="shared" si="21"/>
        <v>-89.010000000000161</v>
      </c>
      <c r="D101" s="23">
        <f t="shared" si="15"/>
        <v>8.4157304121990766</v>
      </c>
      <c r="E101" s="92">
        <f t="shared" si="22"/>
        <v>0</v>
      </c>
      <c r="F101" s="3">
        <f t="shared" si="23"/>
        <v>-11.992151425585723</v>
      </c>
      <c r="G101" s="4">
        <f t="shared" si="16"/>
        <v>180.68503327816529</v>
      </c>
      <c r="I101" s="25">
        <f t="shared" si="17"/>
        <v>-11.088581930380315</v>
      </c>
      <c r="J101">
        <f t="shared" si="18"/>
        <v>0.9035694952054083</v>
      </c>
      <c r="K101" s="4">
        <f t="shared" si="19"/>
        <v>176.80956433400468</v>
      </c>
      <c r="M101" s="3">
        <f t="shared" si="24"/>
        <v>227.01000000000016</v>
      </c>
      <c r="N101">
        <f t="shared" si="25"/>
        <v>-89.010000000000161</v>
      </c>
      <c r="O101">
        <f t="shared" si="26"/>
        <v>-11.991990140726827</v>
      </c>
      <c r="P101">
        <f t="shared" si="20"/>
        <v>180.67896249750251</v>
      </c>
      <c r="Q101">
        <f t="shared" si="27"/>
        <v>0.16128485889588262</v>
      </c>
      <c r="R101">
        <f t="shared" si="28"/>
        <v>-6.0707806627817718</v>
      </c>
      <c r="S101" s="4">
        <f t="shared" si="29"/>
        <v>406.11747015570228</v>
      </c>
    </row>
    <row r="102" spans="1:19" x14ac:dyDescent="0.5">
      <c r="A102" s="3"/>
      <c r="C102">
        <f t="shared" si="21"/>
        <v>-88.320000000000164</v>
      </c>
      <c r="D102" s="23">
        <f t="shared" si="15"/>
        <v>8.2808248125408657</v>
      </c>
      <c r="E102" s="92">
        <f t="shared" si="22"/>
        <v>0</v>
      </c>
      <c r="F102" s="3">
        <f t="shared" si="23"/>
        <v>-12.11682409990439</v>
      </c>
      <c r="G102" s="4">
        <f t="shared" si="16"/>
        <v>178.98581196578141</v>
      </c>
      <c r="I102" s="25">
        <f t="shared" si="17"/>
        <v>-11.210580531042069</v>
      </c>
      <c r="J102">
        <f t="shared" si="18"/>
        <v>0.90624356886232071</v>
      </c>
      <c r="K102" s="4">
        <f t="shared" si="19"/>
        <v>175.43367024697534</v>
      </c>
      <c r="M102" s="3">
        <f t="shared" si="24"/>
        <v>226.32000000000016</v>
      </c>
      <c r="N102">
        <f t="shared" si="25"/>
        <v>-88.320000000000164</v>
      </c>
      <c r="O102">
        <f t="shared" si="26"/>
        <v>-12.1166586262067</v>
      </c>
      <c r="P102">
        <f t="shared" si="20"/>
        <v>178.97994669368728</v>
      </c>
      <c r="Q102">
        <f t="shared" si="27"/>
        <v>0.16547369768993292</v>
      </c>
      <c r="R102">
        <f t="shared" si="28"/>
        <v>-5.8652720941267944</v>
      </c>
      <c r="S102" s="4">
        <f t="shared" si="29"/>
        <v>406.87323693288715</v>
      </c>
    </row>
    <row r="103" spans="1:19" x14ac:dyDescent="0.5">
      <c r="A103" s="3"/>
      <c r="C103">
        <f t="shared" si="21"/>
        <v>-87.630000000000166</v>
      </c>
      <c r="D103" s="23">
        <f t="shared" si="15"/>
        <v>8.1470916756261165</v>
      </c>
      <c r="E103" s="92">
        <f t="shared" si="22"/>
        <v>0</v>
      </c>
      <c r="F103" s="3">
        <f t="shared" si="23"/>
        <v>-12.240324311479593</v>
      </c>
      <c r="G103" s="4">
        <f t="shared" si="16"/>
        <v>177.28974205918391</v>
      </c>
      <c r="I103" s="25">
        <f t="shared" si="17"/>
        <v>-11.331629764754325</v>
      </c>
      <c r="J103">
        <f t="shared" si="18"/>
        <v>0.90869454672526828</v>
      </c>
      <c r="K103" s="4">
        <f t="shared" si="19"/>
        <v>174.05760744142913</v>
      </c>
      <c r="M103" s="3">
        <f t="shared" si="24"/>
        <v>225.63000000000017</v>
      </c>
      <c r="N103">
        <f t="shared" si="25"/>
        <v>-87.630000000000166</v>
      </c>
      <c r="O103">
        <f t="shared" si="26"/>
        <v>-12.240154790744029</v>
      </c>
      <c r="P103">
        <f t="shared" si="20"/>
        <v>177.28408681064019</v>
      </c>
      <c r="Q103">
        <f t="shared" si="27"/>
        <v>0.16952073556453229</v>
      </c>
      <c r="R103">
        <f t="shared" si="28"/>
        <v>-5.6552485437180167</v>
      </c>
      <c r="S103" s="4">
        <f t="shared" si="29"/>
        <v>407.62939408169871</v>
      </c>
    </row>
    <row r="104" spans="1:19" x14ac:dyDescent="0.5">
      <c r="A104" s="3"/>
      <c r="C104">
        <f t="shared" si="21"/>
        <v>-86.940000000000168</v>
      </c>
      <c r="D104" s="23">
        <f t="shared" si="15"/>
        <v>8.0145288269840584</v>
      </c>
      <c r="E104" s="92">
        <f t="shared" si="22"/>
        <v>0</v>
      </c>
      <c r="F104" s="3">
        <f t="shared" si="23"/>
        <v>-12.362654234782108</v>
      </c>
      <c r="G104" s="4">
        <f t="shared" si="16"/>
        <v>175.59681375128466</v>
      </c>
      <c r="I104" s="25">
        <f t="shared" si="17"/>
        <v>-11.451729515101761</v>
      </c>
      <c r="J104">
        <f t="shared" si="18"/>
        <v>0.91092471968034694</v>
      </c>
      <c r="K104" s="4">
        <f t="shared" si="19"/>
        <v>172.68179771200278</v>
      </c>
      <c r="M104" s="3">
        <f t="shared" si="24"/>
        <v>224.94000000000017</v>
      </c>
      <c r="N104">
        <f t="shared" si="25"/>
        <v>-86.940000000000168</v>
      </c>
      <c r="O104">
        <f t="shared" si="26"/>
        <v>-12.362480811924925</v>
      </c>
      <c r="P104">
        <f t="shared" si="20"/>
        <v>175.59137276690834</v>
      </c>
      <c r="Q104">
        <f t="shared" si="27"/>
        <v>0.17342285718235928</v>
      </c>
      <c r="R104">
        <f t="shared" si="28"/>
        <v>-5.440984376321012</v>
      </c>
      <c r="S104" s="4">
        <f t="shared" si="29"/>
        <v>408.38593895866615</v>
      </c>
    </row>
    <row r="105" spans="1:19" x14ac:dyDescent="0.5">
      <c r="A105" s="3"/>
      <c r="C105">
        <f t="shared" si="21"/>
        <v>-86.250000000000171</v>
      </c>
      <c r="D105" s="23">
        <f t="shared" si="15"/>
        <v>7.8831340989108174</v>
      </c>
      <c r="E105" s="92">
        <f t="shared" si="22"/>
        <v>0</v>
      </c>
      <c r="F105" s="3">
        <f t="shared" si="23"/>
        <v>-12.483816037515805</v>
      </c>
      <c r="G105" s="4">
        <f t="shared" si="16"/>
        <v>173.90701727767416</v>
      </c>
      <c r="I105" s="25">
        <f t="shared" si="17"/>
        <v>-11.570879956707358</v>
      </c>
      <c r="J105">
        <f t="shared" si="18"/>
        <v>0.91293608080844635</v>
      </c>
      <c r="K105" s="4">
        <f t="shared" si="19"/>
        <v>171.30573490514359</v>
      </c>
      <c r="M105" s="3">
        <f t="shared" si="24"/>
        <v>224.25000000000017</v>
      </c>
      <c r="N105">
        <f t="shared" si="25"/>
        <v>-86.250000000000171</v>
      </c>
      <c r="O105">
        <f t="shared" si="26"/>
        <v>-12.483638860379287</v>
      </c>
      <c r="P105">
        <f t="shared" si="20"/>
        <v>173.9017945170807</v>
      </c>
      <c r="Q105">
        <f t="shared" si="27"/>
        <v>0.1771771365177699</v>
      </c>
      <c r="R105">
        <f t="shared" si="28"/>
        <v>-5.2227605934547228</v>
      </c>
      <c r="S105" s="4">
        <f t="shared" si="29"/>
        <v>409.14287332343201</v>
      </c>
    </row>
    <row r="106" spans="1:19" x14ac:dyDescent="0.5">
      <c r="A106" s="3"/>
      <c r="C106">
        <f t="shared" si="21"/>
        <v>-85.560000000000173</v>
      </c>
      <c r="D106" s="23">
        <f t="shared" si="15"/>
        <v>7.7529053304399724</v>
      </c>
      <c r="E106" s="92">
        <f t="shared" si="22"/>
        <v>0</v>
      </c>
      <c r="F106" s="3">
        <f t="shared" si="23"/>
        <v>-12.603811880647104</v>
      </c>
      <c r="G106" s="4">
        <f t="shared" si="16"/>
        <v>172.22034291645454</v>
      </c>
      <c r="I106" s="25">
        <f t="shared" si="17"/>
        <v>-11.689080914948136</v>
      </c>
      <c r="J106">
        <f t="shared" si="18"/>
        <v>0.91473096569896839</v>
      </c>
      <c r="K106" s="4">
        <f t="shared" si="19"/>
        <v>169.92984081548846</v>
      </c>
      <c r="M106" s="3">
        <f t="shared" si="24"/>
        <v>223.56000000000017</v>
      </c>
      <c r="N106">
        <f t="shared" si="25"/>
        <v>-85.560000000000173</v>
      </c>
      <c r="O106">
        <f t="shared" si="26"/>
        <v>-12.603631099805668</v>
      </c>
      <c r="P106">
        <f t="shared" si="20"/>
        <v>172.2153420698092</v>
      </c>
      <c r="Q106">
        <f t="shared" si="27"/>
        <v>0.18078084143624551</v>
      </c>
      <c r="R106">
        <f t="shared" si="28"/>
        <v>-5.0008466453448364</v>
      </c>
      <c r="S106" s="4">
        <f t="shared" si="29"/>
        <v>409.90019715140505</v>
      </c>
    </row>
    <row r="107" spans="1:19" x14ac:dyDescent="0.5">
      <c r="A107" s="3"/>
      <c r="C107">
        <f t="shared" si="21"/>
        <v>-84.870000000000175</v>
      </c>
      <c r="D107" s="23">
        <f t="shared" si="15"/>
        <v>7.6238403673132273</v>
      </c>
      <c r="E107" s="92">
        <f t="shared" si="22"/>
        <v>0</v>
      </c>
      <c r="F107" s="3">
        <f t="shared" si="23"/>
        <v>-12.722643918434304</v>
      </c>
      <c r="G107" s="4">
        <f t="shared" si="16"/>
        <v>170.53678098791229</v>
      </c>
      <c r="I107" s="25">
        <f t="shared" si="17"/>
        <v>-11.806332506239414</v>
      </c>
      <c r="J107">
        <f t="shared" si="18"/>
        <v>0.9163114121948901</v>
      </c>
      <c r="K107" s="4">
        <f t="shared" si="19"/>
        <v>168.55386236626356</v>
      </c>
      <c r="M107" s="3">
        <f t="shared" si="24"/>
        <v>222.87000000000018</v>
      </c>
      <c r="N107">
        <f t="shared" si="25"/>
        <v>-84.870000000000175</v>
      </c>
      <c r="O107">
        <f t="shared" si="26"/>
        <v>-12.72245968700858</v>
      </c>
      <c r="P107">
        <f t="shared" si="20"/>
        <v>170.5320054800853</v>
      </c>
      <c r="Q107">
        <f t="shared" si="27"/>
        <v>0.18423142572387974</v>
      </c>
      <c r="R107">
        <f t="shared" si="28"/>
        <v>-4.775507826991543</v>
      </c>
      <c r="S107" s="4">
        <f t="shared" si="29"/>
        <v>410.6579085998892</v>
      </c>
    </row>
    <row r="108" spans="1:19" x14ac:dyDescent="0.5">
      <c r="A108" s="3"/>
      <c r="C108">
        <f t="shared" si="21"/>
        <v>-84.180000000000177</v>
      </c>
      <c r="D108" s="23">
        <f t="shared" si="15"/>
        <v>7.4959370619512953</v>
      </c>
      <c r="E108" s="92">
        <f t="shared" si="22"/>
        <v>0</v>
      </c>
      <c r="F108" s="3">
        <f t="shared" si="23"/>
        <v>-12.840314298456692</v>
      </c>
      <c r="G108" s="4">
        <f t="shared" si="16"/>
        <v>168.85632185434076</v>
      </c>
      <c r="I108" s="25">
        <f t="shared" si="17"/>
        <v>-11.922634672373533</v>
      </c>
      <c r="J108">
        <f t="shared" si="18"/>
        <v>0.91767962608315834</v>
      </c>
      <c r="K108" s="4">
        <f t="shared" si="19"/>
        <v>167.17796827532683</v>
      </c>
      <c r="M108" s="3">
        <f t="shared" si="24"/>
        <v>222.18000000000018</v>
      </c>
      <c r="N108">
        <f t="shared" si="25"/>
        <v>-84.180000000000177</v>
      </c>
      <c r="O108">
        <f t="shared" si="26"/>
        <v>-12.840126771930471</v>
      </c>
      <c r="P108">
        <f t="shared" si="20"/>
        <v>168.8517748415168</v>
      </c>
      <c r="Q108">
        <f t="shared" si="27"/>
        <v>0.1875265262203385</v>
      </c>
      <c r="R108">
        <f t="shared" si="28"/>
        <v>-4.5470128239628593</v>
      </c>
      <c r="S108" s="4">
        <f t="shared" si="29"/>
        <v>411.41601281539886</v>
      </c>
    </row>
    <row r="109" spans="1:19" x14ac:dyDescent="0.5">
      <c r="A109" s="3"/>
      <c r="C109">
        <f t="shared" si="21"/>
        <v>-83.49000000000018</v>
      </c>
      <c r="D109" s="23">
        <f t="shared" si="15"/>
        <v>7.3691932734249193</v>
      </c>
      <c r="E109" s="92">
        <f t="shared" si="22"/>
        <v>0</v>
      </c>
      <c r="F109" s="3">
        <f t="shared" si="23"/>
        <v>-12.956825161643524</v>
      </c>
      <c r="G109" s="4">
        <f t="shared" si="16"/>
        <v>167.17895591978007</v>
      </c>
      <c r="I109" s="25">
        <f t="shared" si="17"/>
        <v>-12.037987471558154</v>
      </c>
      <c r="J109">
        <f t="shared" si="18"/>
        <v>0.91883769008537008</v>
      </c>
      <c r="K109" s="4">
        <f t="shared" si="19"/>
        <v>165.80198982483063</v>
      </c>
      <c r="M109" s="3">
        <f t="shared" si="24"/>
        <v>221.49000000000018</v>
      </c>
      <c r="N109">
        <f t="shared" si="25"/>
        <v>-83.49000000000018</v>
      </c>
      <c r="O109">
        <f t="shared" si="26"/>
        <v>-12.956634497678365</v>
      </c>
      <c r="P109">
        <f t="shared" si="20"/>
        <v>167.17464031464655</v>
      </c>
      <c r="Q109">
        <f t="shared" si="27"/>
        <v>0.19066396515832196</v>
      </c>
      <c r="R109">
        <f t="shared" si="28"/>
        <v>-4.3156051335131451</v>
      </c>
      <c r="S109" s="4">
        <f t="shared" si="29"/>
        <v>412.1744992433841</v>
      </c>
    </row>
    <row r="110" spans="1:19" x14ac:dyDescent="0.5">
      <c r="A110" s="3"/>
      <c r="C110">
        <f t="shared" si="21"/>
        <v>-82.800000000000182</v>
      </c>
      <c r="D110" s="23">
        <f t="shared" si="15"/>
        <v>7.2436068674260614</v>
      </c>
      <c r="E110" s="92">
        <f t="shared" si="22"/>
        <v>0</v>
      </c>
      <c r="F110" s="3">
        <f t="shared" si="23"/>
        <v>-13.072178642302836</v>
      </c>
      <c r="G110" s="4">
        <f t="shared" si="16"/>
        <v>165.50467362981391</v>
      </c>
      <c r="I110" s="25">
        <f t="shared" si="17"/>
        <v>-12.152390845585614</v>
      </c>
      <c r="J110">
        <f t="shared" si="18"/>
        <v>0.91978779671722144</v>
      </c>
      <c r="K110" s="4">
        <f t="shared" si="19"/>
        <v>164.42601137370656</v>
      </c>
      <c r="M110" s="3">
        <f t="shared" si="24"/>
        <v>220.80000000000018</v>
      </c>
      <c r="N110">
        <f t="shared" si="25"/>
        <v>-82.800000000000182</v>
      </c>
      <c r="O110">
        <f t="shared" si="26"/>
        <v>-13.071985000570052</v>
      </c>
      <c r="P110">
        <f t="shared" si="20"/>
        <v>165.50059206259164</v>
      </c>
      <c r="Q110">
        <f t="shared" si="27"/>
        <v>0.19364173278368924</v>
      </c>
      <c r="R110">
        <f t="shared" si="28"/>
        <v>-4.0815672222720423</v>
      </c>
      <c r="S110" s="4">
        <f t="shared" si="29"/>
        <v>412.93338905231099</v>
      </c>
    </row>
    <row r="111" spans="1:19" x14ac:dyDescent="0.5">
      <c r="A111" s="3"/>
      <c r="C111">
        <f t="shared" si="21"/>
        <v>-82.110000000000184</v>
      </c>
      <c r="D111" s="23">
        <f t="shared" si="15"/>
        <v>7.1191757162392486</v>
      </c>
      <c r="E111" s="92">
        <f t="shared" si="22"/>
        <v>0</v>
      </c>
      <c r="F111" s="3">
        <f t="shared" si="23"/>
        <v>-13.186376868150106</v>
      </c>
      <c r="G111" s="4">
        <f t="shared" si="16"/>
        <v>163.83346547129892</v>
      </c>
      <c r="I111" s="25">
        <f t="shared" si="17"/>
        <v>-12.265844794455916</v>
      </c>
      <c r="J111">
        <f t="shared" si="18"/>
        <v>0.92053207369418999</v>
      </c>
      <c r="K111" s="4">
        <f t="shared" si="19"/>
        <v>163.05003292195991</v>
      </c>
      <c r="M111" s="3">
        <f t="shared" si="24"/>
        <v>220.11000000000018</v>
      </c>
      <c r="N111">
        <f t="shared" si="25"/>
        <v>-82.110000000000184</v>
      </c>
      <c r="O111">
        <f t="shared" si="26"/>
        <v>-13.186180410135862</v>
      </c>
      <c r="P111">
        <f t="shared" si="20"/>
        <v>163.82962037976512</v>
      </c>
      <c r="Q111">
        <f t="shared" si="27"/>
        <v>0.19645801424417186</v>
      </c>
      <c r="R111">
        <f t="shared" si="28"/>
        <v>-3.8450915338046343</v>
      </c>
      <c r="S111" s="4">
        <f t="shared" si="29"/>
        <v>413.69265781694941</v>
      </c>
    </row>
    <row r="112" spans="1:19" x14ac:dyDescent="0.5">
      <c r="A112" s="3"/>
      <c r="C112">
        <f t="shared" si="21"/>
        <v>-81.420000000000186</v>
      </c>
      <c r="D112" s="23">
        <f t="shared" si="15"/>
        <v>6.995897698713077</v>
      </c>
      <c r="E112" s="92">
        <f t="shared" si="22"/>
        <v>0</v>
      </c>
      <c r="F112" s="3">
        <f t="shared" si="23"/>
        <v>-13.299421960336732</v>
      </c>
      <c r="G112" s="4">
        <f t="shared" si="16"/>
        <v>162.16532197216944</v>
      </c>
      <c r="I112" s="25">
        <f t="shared" si="17"/>
        <v>-12.378349318169057</v>
      </c>
      <c r="J112">
        <f t="shared" si="18"/>
        <v>0.92107264216767426</v>
      </c>
      <c r="K112" s="4">
        <f t="shared" si="19"/>
        <v>161.6741388285225</v>
      </c>
      <c r="M112" s="3">
        <f t="shared" si="24"/>
        <v>219.42000000000019</v>
      </c>
      <c r="N112">
        <f t="shared" si="25"/>
        <v>-81.420000000000186</v>
      </c>
      <c r="O112">
        <f t="shared" si="26"/>
        <v>-13.299222849209258</v>
      </c>
      <c r="P112">
        <f t="shared" si="20"/>
        <v>162.16171550651666</v>
      </c>
      <c r="Q112">
        <f t="shared" si="27"/>
        <v>0.19911112747372783</v>
      </c>
      <c r="R112">
        <f t="shared" si="28"/>
        <v>-3.6064656527798888</v>
      </c>
      <c r="S112" s="4">
        <f t="shared" si="29"/>
        <v>414.45232119581902</v>
      </c>
    </row>
    <row r="113" spans="1:19" x14ac:dyDescent="0.5">
      <c r="A113" s="3"/>
      <c r="C113">
        <f t="shared" si="21"/>
        <v>-80.730000000000189</v>
      </c>
      <c r="D113" s="23">
        <f t="shared" si="15"/>
        <v>6.8737707002318862</v>
      </c>
      <c r="E113" s="92">
        <f t="shared" si="22"/>
        <v>0</v>
      </c>
      <c r="F113" s="3">
        <f t="shared" si="23"/>
        <v>-13.411316033478377</v>
      </c>
      <c r="G113" s="4">
        <f t="shared" si="16"/>
        <v>160.50023370121048</v>
      </c>
      <c r="I113" s="25">
        <f t="shared" si="17"/>
        <v>-12.4899044749327</v>
      </c>
      <c r="J113">
        <f t="shared" si="18"/>
        <v>0.92141155854567636</v>
      </c>
      <c r="K113" s="4">
        <f t="shared" si="19"/>
        <v>160.29816037554627</v>
      </c>
      <c r="M113" s="3">
        <f t="shared" si="24"/>
        <v>218.73000000000019</v>
      </c>
      <c r="N113">
        <f t="shared" si="25"/>
        <v>-80.730000000000189</v>
      </c>
      <c r="O113">
        <f t="shared" si="26"/>
        <v>-13.411114433889537</v>
      </c>
      <c r="P113">
        <f t="shared" si="20"/>
        <v>160.49686779132196</v>
      </c>
      <c r="Q113">
        <f t="shared" si="27"/>
        <v>0.20159958883958495</v>
      </c>
      <c r="R113">
        <f t="shared" si="28"/>
        <v>-3.3659098885152616</v>
      </c>
      <c r="S113" s="4">
        <f t="shared" si="29"/>
        <v>415.21237520633753</v>
      </c>
    </row>
    <row r="114" spans="1:19" x14ac:dyDescent="0.5">
      <c r="A114" s="3"/>
      <c r="C114">
        <f t="shared" si="21"/>
        <v>-80.040000000000191</v>
      </c>
      <c r="D114" s="23">
        <f t="shared" si="15"/>
        <v>6.7527926126875633</v>
      </c>
      <c r="E114" s="92">
        <f t="shared" si="22"/>
        <v>0</v>
      </c>
      <c r="F114" s="3">
        <f t="shared" si="23"/>
        <v>-13.522061195683156</v>
      </c>
      <c r="G114" s="4">
        <f t="shared" si="16"/>
        <v>158.83819126779048</v>
      </c>
      <c r="I114" s="25">
        <f t="shared" si="17"/>
        <v>-12.600510206539184</v>
      </c>
      <c r="J114">
        <f t="shared" si="18"/>
        <v>0.92155098914397193</v>
      </c>
      <c r="K114" s="4">
        <f t="shared" si="19"/>
        <v>158.92226628088977</v>
      </c>
      <c r="M114" s="3">
        <f t="shared" si="24"/>
        <v>218.04000000000019</v>
      </c>
      <c r="N114">
        <f t="shared" si="25"/>
        <v>-80.040000000000191</v>
      </c>
      <c r="O114">
        <f t="shared" si="26"/>
        <v>-13.521857273616433</v>
      </c>
      <c r="P114">
        <f t="shared" si="20"/>
        <v>158.83506761097544</v>
      </c>
      <c r="Q114">
        <f t="shared" si="27"/>
        <v>0.20392206672248392</v>
      </c>
      <c r="R114">
        <f t="shared" si="28"/>
        <v>-3.1236568150347921</v>
      </c>
      <c r="S114" s="4">
        <f t="shared" si="29"/>
        <v>415.97282426758346</v>
      </c>
    </row>
    <row r="115" spans="1:19" x14ac:dyDescent="0.5">
      <c r="A115" s="3"/>
      <c r="C115">
        <f t="shared" si="21"/>
        <v>-79.350000000000193</v>
      </c>
      <c r="D115" s="23">
        <f t="shared" si="15"/>
        <v>6.6329613344515366</v>
      </c>
      <c r="E115" s="92">
        <f t="shared" si="22"/>
        <v>0</v>
      </c>
      <c r="F115" s="3">
        <f t="shared" si="23"/>
        <v>-13.631659548579638</v>
      </c>
      <c r="G115" s="4">
        <f t="shared" si="16"/>
        <v>157.17918532170637</v>
      </c>
      <c r="I115" s="25">
        <f t="shared" si="17"/>
        <v>-12.710166571196169</v>
      </c>
      <c r="J115">
        <f t="shared" si="18"/>
        <v>0.92149297738346903</v>
      </c>
      <c r="K115" s="4">
        <f t="shared" si="19"/>
        <v>157.5462878267048</v>
      </c>
      <c r="M115" s="3">
        <f t="shared" si="24"/>
        <v>217.35000000000019</v>
      </c>
      <c r="N115">
        <f t="shared" si="25"/>
        <v>-79.350000000000193</v>
      </c>
      <c r="O115">
        <f t="shared" si="26"/>
        <v>-13.631453471189658</v>
      </c>
      <c r="P115">
        <f t="shared" si="20"/>
        <v>157.17630540405747</v>
      </c>
      <c r="Q115">
        <f t="shared" si="27"/>
        <v>0.2060773899792423</v>
      </c>
      <c r="R115">
        <f t="shared" si="28"/>
        <v>-2.8799176488973899</v>
      </c>
      <c r="S115" s="4">
        <f t="shared" si="29"/>
        <v>416.73366191566578</v>
      </c>
    </row>
    <row r="116" spans="1:19" x14ac:dyDescent="0.5">
      <c r="A116" s="3"/>
      <c r="C116">
        <f t="shared" si="21"/>
        <v>-78.660000000000196</v>
      </c>
      <c r="D116" s="23">
        <f t="shared" si="15"/>
        <v>6.5142747703468888</v>
      </c>
      <c r="E116" s="92">
        <f t="shared" si="22"/>
        <v>0</v>
      </c>
      <c r="F116" s="3">
        <f t="shared" si="23"/>
        <v>-13.740113187344742</v>
      </c>
      <c r="G116" s="4">
        <f t="shared" si="16"/>
        <v>155.52320655289051</v>
      </c>
      <c r="I116" s="25">
        <f t="shared" si="17"/>
        <v>-12.818873510695994</v>
      </c>
      <c r="J116">
        <f t="shared" si="18"/>
        <v>0.92123967664874762</v>
      </c>
      <c r="K116" s="4">
        <f t="shared" si="19"/>
        <v>156.17030937192328</v>
      </c>
      <c r="M116" s="3">
        <f t="shared" si="24"/>
        <v>216.6600000000002</v>
      </c>
      <c r="N116">
        <f t="shared" si="25"/>
        <v>-78.660000000000196</v>
      </c>
      <c r="O116">
        <f t="shared" si="26"/>
        <v>-13.739905122811535</v>
      </c>
      <c r="P116">
        <f t="shared" si="20"/>
        <v>155.52057162716946</v>
      </c>
      <c r="Q116">
        <f t="shared" si="27"/>
        <v>0.20806453320609819</v>
      </c>
      <c r="R116">
        <f t="shared" si="28"/>
        <v>-2.63492572105406</v>
      </c>
      <c r="S116" s="4">
        <f t="shared" si="29"/>
        <v>417.49488881255161</v>
      </c>
    </row>
    <row r="117" spans="1:19" x14ac:dyDescent="0.5">
      <c r="A117" s="3"/>
      <c r="C117">
        <f t="shared" si="21"/>
        <v>-77.970000000000198</v>
      </c>
      <c r="D117" s="23">
        <f t="shared" si="15"/>
        <v>6.3967308316206548</v>
      </c>
      <c r="E117" s="92">
        <f t="shared" si="22"/>
        <v>0</v>
      </c>
      <c r="F117" s="3">
        <f t="shared" si="23"/>
        <v>-13.84742420073143</v>
      </c>
      <c r="G117" s="4">
        <f t="shared" si="16"/>
        <v>153.87024569124051</v>
      </c>
      <c r="I117" s="25">
        <f t="shared" si="17"/>
        <v>-12.92663102503866</v>
      </c>
      <c r="J117">
        <f t="shared" si="18"/>
        <v>0.9207931756927703</v>
      </c>
      <c r="K117" s="4">
        <f t="shared" si="19"/>
        <v>154.79441527547721</v>
      </c>
      <c r="M117" s="3">
        <f t="shared" si="24"/>
        <v>215.9700000000002</v>
      </c>
      <c r="N117">
        <f t="shared" si="25"/>
        <v>-77.970000000000198</v>
      </c>
      <c r="O117">
        <f t="shared" si="26"/>
        <v>-13.847214318099432</v>
      </c>
      <c r="P117">
        <f t="shared" si="20"/>
        <v>153.86785678325242</v>
      </c>
      <c r="Q117">
        <f t="shared" si="27"/>
        <v>0.20988263199761548</v>
      </c>
      <c r="R117">
        <f t="shared" si="28"/>
        <v>-2.3889079880916597</v>
      </c>
      <c r="S117" s="4">
        <f t="shared" si="29"/>
        <v>418.25651418228324</v>
      </c>
    </row>
    <row r="118" spans="1:19" x14ac:dyDescent="0.5">
      <c r="A118" s="3"/>
      <c r="C118">
        <f t="shared" si="21"/>
        <v>-77.2800000000002</v>
      </c>
      <c r="D118" s="23">
        <f t="shared" si="15"/>
        <v>6.2803274359162566</v>
      </c>
      <c r="E118" s="92">
        <f t="shared" si="22"/>
        <v>0</v>
      </c>
      <c r="F118" s="3">
        <f t="shared" si="23"/>
        <v>-13.953594671096285</v>
      </c>
      <c r="G118" s="4">
        <f t="shared" si="16"/>
        <v>152.22029350636953</v>
      </c>
      <c r="I118" s="25">
        <f t="shared" si="17"/>
        <v>-13.033439172431827</v>
      </c>
      <c r="J118">
        <f t="shared" si="18"/>
        <v>0.92015549866445845</v>
      </c>
      <c r="K118" s="4">
        <f t="shared" si="19"/>
        <v>153.41835246059131</v>
      </c>
      <c r="M118" s="3">
        <f t="shared" si="24"/>
        <v>215.2800000000002</v>
      </c>
      <c r="N118">
        <f t="shared" si="25"/>
        <v>-77.2800000000002</v>
      </c>
      <c r="O118">
        <f t="shared" si="26"/>
        <v>-13.953383140117737</v>
      </c>
      <c r="P118">
        <f t="shared" si="20"/>
        <v>152.21815145505451</v>
      </c>
      <c r="Q118">
        <f t="shared" si="27"/>
        <v>0.21153097854842429</v>
      </c>
      <c r="R118">
        <f t="shared" si="28"/>
        <v>-2.142051315018989</v>
      </c>
      <c r="S118" s="4">
        <f t="shared" si="29"/>
        <v>419.01852648767266</v>
      </c>
    </row>
    <row r="119" spans="1:19" x14ac:dyDescent="0.5">
      <c r="A119" s="3"/>
      <c r="C119">
        <f t="shared" si="21"/>
        <v>-76.590000000000202</v>
      </c>
      <c r="D119" s="23">
        <f t="shared" si="15"/>
        <v>6.1650625072460823</v>
      </c>
      <c r="E119" s="92">
        <f t="shared" si="22"/>
        <v>0</v>
      </c>
      <c r="F119" s="3">
        <f t="shared" si="23"/>
        <v>-14.058626674426913</v>
      </c>
      <c r="G119" s="4">
        <f t="shared" si="16"/>
        <v>150.57334080741336</v>
      </c>
      <c r="I119" s="25">
        <f t="shared" si="17"/>
        <v>-13.139297836460173</v>
      </c>
      <c r="J119">
        <f t="shared" si="18"/>
        <v>0.9193288379667397</v>
      </c>
      <c r="K119" s="4">
        <f t="shared" si="19"/>
        <v>152.04254272190514</v>
      </c>
      <c r="M119" s="3">
        <f t="shared" si="24"/>
        <v>214.5900000000002</v>
      </c>
      <c r="N119">
        <f t="shared" si="25"/>
        <v>-76.590000000000202</v>
      </c>
      <c r="O119">
        <f t="shared" si="26"/>
        <v>-14.058413665432923</v>
      </c>
      <c r="P119">
        <f t="shared" si="20"/>
        <v>150.57144622274947</v>
      </c>
      <c r="Q119">
        <f t="shared" si="27"/>
        <v>0.21300899399001594</v>
      </c>
      <c r="R119">
        <f t="shared" si="28"/>
        <v>-1.8945846638871444</v>
      </c>
      <c r="S119" s="4">
        <f t="shared" si="29"/>
        <v>419.78093644305983</v>
      </c>
    </row>
    <row r="120" spans="1:19" x14ac:dyDescent="0.5">
      <c r="A120" s="3"/>
      <c r="C120">
        <f t="shared" si="21"/>
        <v>-75.900000000000205</v>
      </c>
      <c r="D120" s="23">
        <f t="shared" si="15"/>
        <v>6.0509339759642371</v>
      </c>
      <c r="E120" s="92">
        <f t="shared" si="22"/>
        <v>0</v>
      </c>
      <c r="F120" s="3">
        <f t="shared" si="23"/>
        <v>-14.162522280369213</v>
      </c>
      <c r="G120" s="4">
        <f t="shared" si="16"/>
        <v>148.92937844278566</v>
      </c>
      <c r="I120" s="25">
        <f t="shared" si="17"/>
        <v>-13.244207191746682</v>
      </c>
      <c r="J120">
        <f t="shared" si="18"/>
        <v>0.91831508862253131</v>
      </c>
      <c r="K120" s="4">
        <f t="shared" si="19"/>
        <v>150.66647990586256</v>
      </c>
      <c r="M120" s="3">
        <f t="shared" si="24"/>
        <v>213.9000000000002</v>
      </c>
      <c r="N120">
        <f t="shared" si="25"/>
        <v>-75.900000000000205</v>
      </c>
      <c r="O120">
        <f t="shared" si="26"/>
        <v>-14.162307964111776</v>
      </c>
      <c r="P120">
        <f t="shared" si="20"/>
        <v>148.92773175146692</v>
      </c>
      <c r="Q120">
        <f t="shared" si="27"/>
        <v>0.21431625743772997</v>
      </c>
      <c r="R120">
        <f t="shared" si="28"/>
        <v>-1.6466913187400678</v>
      </c>
      <c r="S120" s="4">
        <f t="shared" si="29"/>
        <v>420.54373782894299</v>
      </c>
    </row>
    <row r="121" spans="1:19" x14ac:dyDescent="0.5">
      <c r="A121" s="3"/>
      <c r="C121">
        <f t="shared" si="21"/>
        <v>-75.210000000000207</v>
      </c>
      <c r="D121" s="23">
        <f t="shared" si="15"/>
        <v>5.9379397787394241</v>
      </c>
      <c r="E121" s="92">
        <f t="shared" si="22"/>
        <v>0</v>
      </c>
      <c r="F121" s="3">
        <f t="shared" si="23"/>
        <v>-14.265283552254482</v>
      </c>
      <c r="G121" s="4">
        <f t="shared" si="16"/>
        <v>147.28839729997986</v>
      </c>
      <c r="I121" s="25">
        <f t="shared" si="17"/>
        <v>-13.34816706366837</v>
      </c>
      <c r="J121">
        <f t="shared" si="18"/>
        <v>0.91711648858611206</v>
      </c>
      <c r="K121" s="4">
        <f t="shared" si="19"/>
        <v>149.29058580710335</v>
      </c>
      <c r="M121" s="3">
        <f t="shared" si="24"/>
        <v>213.21000000000021</v>
      </c>
      <c r="N121">
        <f t="shared" si="25"/>
        <v>-75.210000000000207</v>
      </c>
      <c r="O121">
        <f t="shared" si="26"/>
        <v>-14.265068099780009</v>
      </c>
      <c r="P121">
        <f t="shared" si="20"/>
        <v>147.28699872435749</v>
      </c>
      <c r="Q121">
        <f t="shared" si="27"/>
        <v>0.21545247447285476</v>
      </c>
      <c r="R121">
        <f t="shared" si="28"/>
        <v>-1.3985756223746648</v>
      </c>
      <c r="S121" s="4">
        <f t="shared" si="29"/>
        <v>421.306933010021</v>
      </c>
    </row>
    <row r="122" spans="1:19" x14ac:dyDescent="0.5">
      <c r="A122" s="3"/>
      <c r="C122">
        <f t="shared" si="21"/>
        <v>-74.520000000000209</v>
      </c>
      <c r="D122" s="23">
        <f t="shared" si="15"/>
        <v>5.8260778585279853</v>
      </c>
      <c r="E122" s="92">
        <f t="shared" si="22"/>
        <v>0</v>
      </c>
      <c r="F122" s="3">
        <f t="shared" si="23"/>
        <v>-14.366912547126377</v>
      </c>
      <c r="G122" s="4">
        <f t="shared" si="16"/>
        <v>145.65038830534516</v>
      </c>
      <c r="I122" s="25">
        <f t="shared" si="17"/>
        <v>-13.45117756864056</v>
      </c>
      <c r="J122">
        <f t="shared" si="18"/>
        <v>0.91573497848581731</v>
      </c>
      <c r="K122" s="4">
        <f t="shared" si="19"/>
        <v>147.91460734885186</v>
      </c>
      <c r="M122" s="3">
        <f t="shared" si="24"/>
        <v>212.52000000000021</v>
      </c>
      <c r="N122">
        <f t="shared" si="25"/>
        <v>-74.520000000000209</v>
      </c>
      <c r="O122">
        <f t="shared" si="26"/>
        <v>-14.366696129634704</v>
      </c>
      <c r="P122">
        <f t="shared" si="20"/>
        <v>145.64923787606025</v>
      </c>
      <c r="Q122">
        <f t="shared" si="27"/>
        <v>0.21641749167322644</v>
      </c>
      <c r="R122">
        <f t="shared" si="28"/>
        <v>-1.1504292849053854</v>
      </c>
      <c r="S122" s="4">
        <f t="shared" si="29"/>
        <v>422.07051846898401</v>
      </c>
    </row>
    <row r="123" spans="1:19" x14ac:dyDescent="0.5">
      <c r="A123" s="3"/>
      <c r="C123">
        <f t="shared" si="21"/>
        <v>-73.830000000000211</v>
      </c>
      <c r="D123" s="23">
        <f t="shared" si="15"/>
        <v>5.7153461645470882</v>
      </c>
      <c r="E123" s="92">
        <f t="shared" si="22"/>
        <v>0</v>
      </c>
      <c r="F123" s="3">
        <f t="shared" si="23"/>
        <v>-14.467411315767727</v>
      </c>
      <c r="G123" s="4">
        <f t="shared" si="16"/>
        <v>144.01534242392171</v>
      </c>
      <c r="I123" s="25">
        <f t="shared" si="17"/>
        <v>-13.55323864845559</v>
      </c>
      <c r="J123">
        <f t="shared" si="18"/>
        <v>0.91417266731213687</v>
      </c>
      <c r="K123" s="4">
        <f t="shared" si="19"/>
        <v>146.53871324896733</v>
      </c>
      <c r="M123" s="3">
        <f t="shared" si="24"/>
        <v>211.83000000000021</v>
      </c>
      <c r="N123">
        <f t="shared" si="25"/>
        <v>-73.830000000000211</v>
      </c>
      <c r="O123">
        <f t="shared" si="26"/>
        <v>-14.46719410447983</v>
      </c>
      <c r="P123">
        <f t="shared" si="20"/>
        <v>144.01443996953293</v>
      </c>
      <c r="Q123">
        <f t="shared" si="27"/>
        <v>0.2172112878966459</v>
      </c>
      <c r="R123">
        <f t="shared" si="28"/>
        <v>-0.90245438877900597</v>
      </c>
      <c r="S123" s="4">
        <f t="shared" si="29"/>
        <v>422.83450337702618</v>
      </c>
    </row>
    <row r="124" spans="1:19" x14ac:dyDescent="0.5">
      <c r="A124" s="3"/>
      <c r="C124">
        <f t="shared" si="21"/>
        <v>-73.140000000000214</v>
      </c>
      <c r="D124" s="23">
        <f t="shared" si="15"/>
        <v>5.6057426522480442</v>
      </c>
      <c r="E124" s="92">
        <f t="shared" si="22"/>
        <v>0</v>
      </c>
      <c r="F124" s="3">
        <f t="shared" si="23"/>
        <v>-14.566781902727229</v>
      </c>
      <c r="G124" s="4">
        <f t="shared" si="16"/>
        <v>142.38325065911627</v>
      </c>
      <c r="I124" s="25">
        <f t="shared" si="17"/>
        <v>-13.654350361321121</v>
      </c>
      <c r="J124">
        <f t="shared" si="18"/>
        <v>0.91243154140610727</v>
      </c>
      <c r="K124" s="4">
        <f t="shared" si="19"/>
        <v>145.16273478960093</v>
      </c>
      <c r="M124" s="3">
        <f t="shared" si="24"/>
        <v>211.14000000000021</v>
      </c>
      <c r="N124">
        <f t="shared" si="25"/>
        <v>-73.140000000000214</v>
      </c>
      <c r="O124">
        <f t="shared" si="26"/>
        <v>-14.566564068745791</v>
      </c>
      <c r="P124">
        <f t="shared" si="20"/>
        <v>142.38259584496595</v>
      </c>
      <c r="Q124">
        <f t="shared" si="27"/>
        <v>0.21783398143782051</v>
      </c>
      <c r="R124">
        <f t="shared" si="28"/>
        <v>-0.65481415032309087</v>
      </c>
      <c r="S124" s="4">
        <f t="shared" si="29"/>
        <v>423.59888036622692</v>
      </c>
    </row>
    <row r="125" spans="1:19" x14ac:dyDescent="0.5">
      <c r="A125" s="3"/>
      <c r="C125">
        <f t="shared" si="21"/>
        <v>-72.450000000000216</v>
      </c>
      <c r="D125" s="23">
        <f t="shared" si="15"/>
        <v>5.4972652832898055</v>
      </c>
      <c r="E125" s="92">
        <f t="shared" si="22"/>
        <v>0</v>
      </c>
      <c r="F125" s="3">
        <f t="shared" si="23"/>
        <v>-14.665026346345922</v>
      </c>
      <c r="G125" s="4">
        <f t="shared" si="16"/>
        <v>140.75410405263531</v>
      </c>
      <c r="I125" s="25">
        <f t="shared" si="17"/>
        <v>-13.754512649029493</v>
      </c>
      <c r="J125">
        <f t="shared" si="18"/>
        <v>0.91051369731642851</v>
      </c>
      <c r="K125" s="4">
        <f t="shared" si="19"/>
        <v>143.78675632968483</v>
      </c>
      <c r="M125" s="3">
        <f t="shared" si="24"/>
        <v>210.45000000000022</v>
      </c>
      <c r="N125">
        <f t="shared" si="25"/>
        <v>-72.450000000000216</v>
      </c>
      <c r="O125">
        <f t="shared" si="26"/>
        <v>-14.664808060542711</v>
      </c>
      <c r="P125">
        <f t="shared" si="20"/>
        <v>140.75369635542185</v>
      </c>
      <c r="Q125">
        <f t="shared" si="27"/>
        <v>0.2182858032107049</v>
      </c>
      <c r="R125">
        <f t="shared" si="28"/>
        <v>-0.40769721346123333</v>
      </c>
      <c r="S125" s="4">
        <f t="shared" si="29"/>
        <v>424.36365412044245</v>
      </c>
    </row>
    <row r="126" spans="1:19" x14ac:dyDescent="0.5">
      <c r="A126" s="3"/>
      <c r="C126">
        <f t="shared" si="21"/>
        <v>-71.760000000000218</v>
      </c>
      <c r="D126" s="23">
        <f t="shared" si="15"/>
        <v>5.3899120255125688</v>
      </c>
      <c r="E126" s="92">
        <f t="shared" si="22"/>
        <v>0</v>
      </c>
      <c r="F126" s="3">
        <f t="shared" si="23"/>
        <v>-14.762146678783614</v>
      </c>
      <c r="G126" s="4">
        <f t="shared" si="16"/>
        <v>139.12789368416577</v>
      </c>
      <c r="I126" s="25">
        <f t="shared" si="17"/>
        <v>-13.853725511580706</v>
      </c>
      <c r="J126">
        <f t="shared" si="18"/>
        <v>0.90842116720290811</v>
      </c>
      <c r="K126" s="4">
        <f t="shared" si="19"/>
        <v>142.41086222815139</v>
      </c>
      <c r="M126" s="3">
        <f t="shared" si="24"/>
        <v>209.76000000000022</v>
      </c>
      <c r="N126">
        <f t="shared" si="25"/>
        <v>-71.760000000000218</v>
      </c>
      <c r="O126">
        <f t="shared" si="26"/>
        <v>-14.76192811166932</v>
      </c>
      <c r="P126">
        <f t="shared" si="20"/>
        <v>139.1277324131749</v>
      </c>
      <c r="Q126">
        <f t="shared" si="27"/>
        <v>0.21856711429357745</v>
      </c>
      <c r="R126">
        <f t="shared" si="28"/>
        <v>-0.16127099087270835</v>
      </c>
      <c r="S126" s="4">
        <f t="shared" si="29"/>
        <v>425.12881866643335</v>
      </c>
    </row>
    <row r="127" spans="1:19" x14ac:dyDescent="0.5">
      <c r="A127" s="3"/>
      <c r="C127">
        <f t="shared" si="21"/>
        <v>-71.070000000000221</v>
      </c>
      <c r="D127" s="23">
        <f t="shared" si="15"/>
        <v>5.2836808529115515</v>
      </c>
      <c r="E127" s="92">
        <f t="shared" si="22"/>
        <v>0</v>
      </c>
      <c r="F127" s="3">
        <f t="shared" si="23"/>
        <v>-14.858144926045087</v>
      </c>
      <c r="G127" s="4">
        <f t="shared" si="16"/>
        <v>137.50461067121014</v>
      </c>
      <c r="I127" s="25">
        <f t="shared" si="17"/>
        <v>-13.951989007182419</v>
      </c>
      <c r="J127">
        <f t="shared" si="18"/>
        <v>0.90615591886266778</v>
      </c>
      <c r="K127" s="4">
        <f t="shared" si="19"/>
        <v>141.0348837671516</v>
      </c>
      <c r="M127" s="3">
        <f t="shared" si="24"/>
        <v>209.07000000000022</v>
      </c>
      <c r="N127">
        <f t="shared" si="25"/>
        <v>-71.070000000000221</v>
      </c>
      <c r="O127">
        <f t="shared" si="26"/>
        <v>-14.857926247653808</v>
      </c>
      <c r="P127">
        <f t="shared" si="20"/>
        <v>137.50469494852024</v>
      </c>
      <c r="Q127">
        <f t="shared" si="27"/>
        <v>0.21867839127942545</v>
      </c>
      <c r="R127">
        <f t="shared" si="28"/>
        <v>8.4277310094194036E-2</v>
      </c>
      <c r="S127" s="4">
        <f t="shared" si="29"/>
        <v>425.89438357418504</v>
      </c>
    </row>
    <row r="128" spans="1:19" x14ac:dyDescent="0.5">
      <c r="A128" s="3"/>
      <c r="C128">
        <f t="shared" si="21"/>
        <v>-70.380000000000223</v>
      </c>
      <c r="D128" s="23">
        <f t="shared" si="15"/>
        <v>5.1785697456109006</v>
      </c>
      <c r="E128" s="92">
        <f t="shared" si="22"/>
        <v>0</v>
      </c>
      <c r="F128" s="3">
        <f t="shared" si="23"/>
        <v>-14.953023108006192</v>
      </c>
      <c r="G128" s="4">
        <f t="shared" si="16"/>
        <v>135.8842461689143</v>
      </c>
      <c r="I128" s="25">
        <f t="shared" si="17"/>
        <v>-14.049303077626973</v>
      </c>
      <c r="J128">
        <f t="shared" si="18"/>
        <v>0.903720030379219</v>
      </c>
      <c r="K128" s="4">
        <f t="shared" si="19"/>
        <v>139.65890530561774</v>
      </c>
      <c r="M128" s="3">
        <f t="shared" si="24"/>
        <v>208.38000000000022</v>
      </c>
      <c r="N128">
        <f t="shared" si="25"/>
        <v>-70.380000000000223</v>
      </c>
      <c r="O128">
        <f t="shared" si="26"/>
        <v>-14.952804487766258</v>
      </c>
      <c r="P128">
        <f t="shared" si="20"/>
        <v>135.8845749689859</v>
      </c>
      <c r="Q128">
        <f t="shared" si="27"/>
        <v>0.21862023993435287</v>
      </c>
      <c r="R128">
        <f t="shared" si="28"/>
        <v>0.32880007159974411</v>
      </c>
      <c r="S128" s="4">
        <f t="shared" si="29"/>
        <v>426.66033891889742</v>
      </c>
    </row>
    <row r="129" spans="1:19" x14ac:dyDescent="0.5">
      <c r="A129" s="3"/>
      <c r="C129">
        <f t="shared" si="21"/>
        <v>-69.690000000000225</v>
      </c>
      <c r="D129" s="23">
        <f t="shared" si="15"/>
        <v>5.074576689837726</v>
      </c>
      <c r="E129" s="92">
        <f t="shared" si="22"/>
        <v>0</v>
      </c>
      <c r="F129" s="3">
        <f t="shared" si="23"/>
        <v>-15.046783238439822</v>
      </c>
      <c r="G129" s="4">
        <f t="shared" si="16"/>
        <v>134.26679136977376</v>
      </c>
      <c r="I129" s="25">
        <f t="shared" si="17"/>
        <v>-14.145667722914368</v>
      </c>
      <c r="J129">
        <f t="shared" si="18"/>
        <v>0.90111551552545421</v>
      </c>
      <c r="K129" s="4">
        <f t="shared" si="19"/>
        <v>138.28292684355509</v>
      </c>
      <c r="M129" s="3">
        <f t="shared" si="24"/>
        <v>207.69000000000023</v>
      </c>
      <c r="N129">
        <f t="shared" si="25"/>
        <v>-69.690000000000225</v>
      </c>
      <c r="O129">
        <f t="shared" si="26"/>
        <v>-15.046564845071941</v>
      </c>
      <c r="P129">
        <f t="shared" si="20"/>
        <v>134.26736348467412</v>
      </c>
      <c r="Q129">
        <f t="shared" si="27"/>
        <v>0.2183933678807648</v>
      </c>
      <c r="R129">
        <f t="shared" si="28"/>
        <v>0.57211490036479518</v>
      </c>
      <c r="S129" s="4">
        <f t="shared" si="29"/>
        <v>427.4266951452264</v>
      </c>
    </row>
    <row r="130" spans="1:19" x14ac:dyDescent="0.5">
      <c r="A130" s="3"/>
      <c r="C130">
        <f t="shared" si="21"/>
        <v>-69.000000000000227</v>
      </c>
      <c r="D130" s="23">
        <f t="shared" si="15"/>
        <v>4.9716996778963205</v>
      </c>
      <c r="E130" s="92">
        <f t="shared" si="22"/>
        <v>0</v>
      </c>
      <c r="F130" s="3">
        <f t="shared" si="23"/>
        <v>-15.139427325041682</v>
      </c>
      <c r="G130" s="4">
        <f t="shared" si="16"/>
        <v>132.65223750354104</v>
      </c>
      <c r="I130" s="25">
        <f t="shared" si="17"/>
        <v>-14.241082943044603</v>
      </c>
      <c r="J130">
        <f t="shared" si="18"/>
        <v>0.89834438199707911</v>
      </c>
      <c r="K130" s="4">
        <f t="shared" si="19"/>
        <v>136.90703273989604</v>
      </c>
      <c r="M130" s="3">
        <f t="shared" si="24"/>
        <v>207.00000000000023</v>
      </c>
      <c r="N130">
        <f t="shared" si="25"/>
        <v>-69.000000000000227</v>
      </c>
      <c r="O130">
        <f t="shared" si="26"/>
        <v>-15.13920932643309</v>
      </c>
      <c r="P130">
        <f t="shared" si="20"/>
        <v>132.65305158549441</v>
      </c>
      <c r="Q130">
        <f t="shared" si="27"/>
        <v>0.21799860859239573</v>
      </c>
      <c r="R130">
        <f t="shared" si="28"/>
        <v>0.81408195336507561</v>
      </c>
      <c r="S130" s="4">
        <f t="shared" si="29"/>
        <v>428.19344512528022</v>
      </c>
    </row>
    <row r="131" spans="1:19" x14ac:dyDescent="0.5">
      <c r="A131" s="3"/>
      <c r="C131">
        <f t="shared" si="21"/>
        <v>-68.31000000000023</v>
      </c>
      <c r="D131" s="23">
        <f t="shared" si="15"/>
        <v>4.869936708142462</v>
      </c>
      <c r="E131" s="92">
        <f t="shared" si="22"/>
        <v>0</v>
      </c>
      <c r="F131" s="3">
        <f t="shared" si="23"/>
        <v>-15.230957369455998</v>
      </c>
      <c r="G131" s="4">
        <f t="shared" si="16"/>
        <v>131.04057583691682</v>
      </c>
      <c r="I131" s="25">
        <f t="shared" si="17"/>
        <v>-14.335548796225339</v>
      </c>
      <c r="J131">
        <f t="shared" si="18"/>
        <v>0.89540857323065914</v>
      </c>
      <c r="K131" s="4">
        <f t="shared" si="19"/>
        <v>135.53113863571866</v>
      </c>
      <c r="M131" s="3">
        <f t="shared" si="24"/>
        <v>206.31000000000023</v>
      </c>
      <c r="N131">
        <f t="shared" si="25"/>
        <v>-68.31000000000023</v>
      </c>
      <c r="O131">
        <f t="shared" si="26"/>
        <v>-15.230739932563964</v>
      </c>
      <c r="P131">
        <f t="shared" si="20"/>
        <v>131.04163037422828</v>
      </c>
      <c r="Q131">
        <f t="shared" si="27"/>
        <v>0.21743689203468364</v>
      </c>
      <c r="R131">
        <f t="shared" si="28"/>
        <v>1.0545373114609902</v>
      </c>
      <c r="S131" s="4">
        <f t="shared" si="29"/>
        <v>428.96059267601936</v>
      </c>
    </row>
    <row r="132" spans="1:19" x14ac:dyDescent="0.5">
      <c r="A132" s="3"/>
      <c r="C132">
        <f t="shared" si="21"/>
        <v>-67.620000000000232</v>
      </c>
      <c r="D132" s="23">
        <f t="shared" si="15"/>
        <v>4.7692857849579013</v>
      </c>
      <c r="E132" s="92">
        <f t="shared" si="22"/>
        <v>0</v>
      </c>
      <c r="F132" s="3">
        <f t="shared" si="23"/>
        <v>-15.321375367301012</v>
      </c>
      <c r="G132" s="4">
        <f t="shared" si="16"/>
        <v>129.43179767345717</v>
      </c>
      <c r="I132" s="25">
        <f t="shared" si="17"/>
        <v>-14.429065282456577</v>
      </c>
      <c r="J132">
        <f t="shared" si="18"/>
        <v>0.89231008484443564</v>
      </c>
      <c r="K132" s="4">
        <f t="shared" si="19"/>
        <v>134.15507581317345</v>
      </c>
      <c r="M132" s="3">
        <f t="shared" si="24"/>
        <v>205.62000000000023</v>
      </c>
      <c r="N132">
        <f t="shared" si="25"/>
        <v>-67.620000000000232</v>
      </c>
      <c r="O132">
        <f t="shared" si="26"/>
        <v>-15.321158658039735</v>
      </c>
      <c r="P132">
        <f t="shared" si="20"/>
        <v>129.43309100772024</v>
      </c>
      <c r="Q132">
        <f t="shared" si="27"/>
        <v>0.2167092612772592</v>
      </c>
      <c r="R132">
        <f t="shared" si="28"/>
        <v>1.293334263067436</v>
      </c>
      <c r="S132" s="4">
        <f t="shared" si="29"/>
        <v>429.7281369089543</v>
      </c>
    </row>
    <row r="133" spans="1:19" x14ac:dyDescent="0.5">
      <c r="A133" s="3"/>
      <c r="C133">
        <f t="shared" si="21"/>
        <v>-66.930000000000234</v>
      </c>
      <c r="D133" s="23">
        <f t="shared" si="15"/>
        <v>4.6697449187249598</v>
      </c>
      <c r="E133" s="92">
        <f t="shared" si="22"/>
        <v>0</v>
      </c>
      <c r="F133" s="3">
        <f t="shared" si="23"/>
        <v>-15.410683308194411</v>
      </c>
      <c r="G133" s="4">
        <f t="shared" si="16"/>
        <v>127.8258943532621</v>
      </c>
      <c r="I133" s="25">
        <f t="shared" si="17"/>
        <v>-14.521632285322994</v>
      </c>
      <c r="J133">
        <f t="shared" si="18"/>
        <v>0.88905102287141702</v>
      </c>
      <c r="K133" s="4">
        <f t="shared" si="19"/>
        <v>132.77918170797494</v>
      </c>
      <c r="M133" s="3">
        <f t="shared" si="24"/>
        <v>204.93000000000023</v>
      </c>
      <c r="N133">
        <f t="shared" si="25"/>
        <v>-66.930000000000234</v>
      </c>
      <c r="O133">
        <f t="shared" si="26"/>
        <v>-15.41046749133379</v>
      </c>
      <c r="P133">
        <f t="shared" si="20"/>
        <v>127.82742467885663</v>
      </c>
      <c r="Q133">
        <f t="shared" si="27"/>
        <v>0.21581686062077665</v>
      </c>
      <c r="R133">
        <f t="shared" si="28"/>
        <v>1.5303255945298133</v>
      </c>
      <c r="S133" s="4">
        <f t="shared" si="29"/>
        <v>430.49607767664423</v>
      </c>
    </row>
    <row r="134" spans="1:19" x14ac:dyDescent="0.5">
      <c r="A134" s="3"/>
      <c r="C134">
        <f t="shared" si="21"/>
        <v>-66.240000000000236</v>
      </c>
      <c r="D134" s="23">
        <f t="shared" si="15"/>
        <v>4.5713121258012848</v>
      </c>
      <c r="E134" s="92">
        <f t="shared" si="22"/>
        <v>0</v>
      </c>
      <c r="F134" s="3">
        <f t="shared" si="23"/>
        <v>-15.498883175778541</v>
      </c>
      <c r="G134" s="4">
        <f t="shared" si="16"/>
        <v>126.22285725287261</v>
      </c>
      <c r="I134" s="25">
        <f t="shared" si="17"/>
        <v>-14.613249921239913</v>
      </c>
      <c r="J134">
        <f t="shared" si="18"/>
        <v>0.88563325453862873</v>
      </c>
      <c r="K134" s="4">
        <f t="shared" si="19"/>
        <v>131.4032032433463</v>
      </c>
      <c r="M134" s="3">
        <f t="shared" si="24"/>
        <v>204.24000000000024</v>
      </c>
      <c r="N134">
        <f t="shared" si="25"/>
        <v>-66.240000000000236</v>
      </c>
      <c r="O134">
        <f t="shared" si="26"/>
        <v>-15.498668414842598</v>
      </c>
      <c r="P134">
        <f t="shared" si="20"/>
        <v>126.22462261914013</v>
      </c>
      <c r="Q134">
        <f t="shared" si="27"/>
        <v>0.21476093594330337</v>
      </c>
      <c r="R134">
        <f t="shared" si="28"/>
        <v>1.7653662675201076</v>
      </c>
      <c r="S134" s="4">
        <f t="shared" si="29"/>
        <v>431.26441697350572</v>
      </c>
    </row>
    <row r="135" spans="1:19" x14ac:dyDescent="0.5">
      <c r="A135" s="3"/>
      <c r="C135">
        <f t="shared" si="21"/>
        <v>-65.550000000000239</v>
      </c>
      <c r="D135" s="23">
        <f t="shared" si="15"/>
        <v>4.4739854284947249</v>
      </c>
      <c r="E135" s="92">
        <f t="shared" si="22"/>
        <v>0</v>
      </c>
      <c r="F135" s="3">
        <f t="shared" si="23"/>
        <v>-15.585976947745555</v>
      </c>
      <c r="G135" s="4">
        <f t="shared" si="16"/>
        <v>124.62267778503373</v>
      </c>
      <c r="I135" s="25">
        <f t="shared" si="17"/>
        <v>-14.703918131999671</v>
      </c>
      <c r="J135">
        <f t="shared" si="18"/>
        <v>0.88205881574588396</v>
      </c>
      <c r="K135" s="4">
        <f t="shared" si="19"/>
        <v>130.02730913714751</v>
      </c>
      <c r="M135" s="3">
        <f t="shared" si="24"/>
        <v>203.55000000000024</v>
      </c>
      <c r="N135">
        <f t="shared" si="25"/>
        <v>-65.550000000000239</v>
      </c>
      <c r="O135">
        <f t="shared" si="26"/>
        <v>-15.585763404912356</v>
      </c>
      <c r="P135">
        <f t="shared" si="20"/>
        <v>124.62467610641315</v>
      </c>
      <c r="Q135">
        <f t="shared" si="27"/>
        <v>0.21354283319929834</v>
      </c>
      <c r="R135">
        <f t="shared" si="28"/>
        <v>1.9983213794176891</v>
      </c>
      <c r="S135" s="4">
        <f t="shared" si="29"/>
        <v>432.03315479504374</v>
      </c>
    </row>
    <row r="136" spans="1:19" x14ac:dyDescent="0.5">
      <c r="A136" s="3"/>
      <c r="C136">
        <f t="shared" si="21"/>
        <v>-64.860000000000241</v>
      </c>
      <c r="D136" s="23">
        <f t="shared" si="15"/>
        <v>4.3777628550383456</v>
      </c>
      <c r="E136" s="92">
        <f t="shared" si="22"/>
        <v>0</v>
      </c>
      <c r="F136" s="3">
        <f t="shared" si="23"/>
        <v>-15.671966595862392</v>
      </c>
      <c r="G136" s="4">
        <f t="shared" si="16"/>
        <v>123.02534739847842</v>
      </c>
      <c r="I136" s="25">
        <f t="shared" si="17"/>
        <v>-14.793636975809932</v>
      </c>
      <c r="J136">
        <f t="shared" si="18"/>
        <v>0.87832962005245996</v>
      </c>
      <c r="K136" s="4">
        <f t="shared" si="19"/>
        <v>128.65133067152891</v>
      </c>
      <c r="M136" s="3">
        <f t="shared" si="24"/>
        <v>202.86000000000024</v>
      </c>
      <c r="N136">
        <f t="shared" si="25"/>
        <v>-64.860000000000241</v>
      </c>
      <c r="O136">
        <f t="shared" si="26"/>
        <v>-15.671754431870966</v>
      </c>
      <c r="P136">
        <f t="shared" si="20"/>
        <v>123.0275764571343</v>
      </c>
      <c r="Q136">
        <f t="shared" si="27"/>
        <v>0.21216399142609532</v>
      </c>
      <c r="R136">
        <f t="shared" si="28"/>
        <v>2.2290586558852965</v>
      </c>
      <c r="S136" s="4">
        <f t="shared" si="29"/>
        <v>432.80228700487112</v>
      </c>
    </row>
    <row r="137" spans="1:19" x14ac:dyDescent="0.5">
      <c r="A137" s="3"/>
      <c r="C137">
        <f t="shared" si="21"/>
        <v>-64.170000000000243</v>
      </c>
      <c r="D137" s="23">
        <f t="shared" si="15"/>
        <v>4.2826424395655867</v>
      </c>
      <c r="E137" s="92">
        <f t="shared" si="22"/>
        <v>0</v>
      </c>
      <c r="F137" s="3">
        <f t="shared" si="23"/>
        <v>-15.756854085995606</v>
      </c>
      <c r="G137" s="4">
        <f t="shared" si="16"/>
        <v>121.43085757777551</v>
      </c>
      <c r="I137" s="25">
        <f t="shared" si="17"/>
        <v>-14.882406394463032</v>
      </c>
      <c r="J137">
        <f t="shared" si="18"/>
        <v>0.8744476915325734</v>
      </c>
      <c r="K137" s="4">
        <f t="shared" si="19"/>
        <v>127.2753522054232</v>
      </c>
      <c r="M137" s="3">
        <f t="shared" si="24"/>
        <v>202.17000000000024</v>
      </c>
      <c r="N137">
        <f t="shared" si="25"/>
        <v>-64.170000000000243</v>
      </c>
      <c r="O137">
        <f t="shared" si="26"/>
        <v>-15.756643460054676</v>
      </c>
      <c r="P137">
        <f t="shared" si="20"/>
        <v>121.43331501093212</v>
      </c>
      <c r="Q137">
        <f t="shared" si="27"/>
        <v>0.21062594093024245</v>
      </c>
      <c r="R137">
        <f t="shared" si="28"/>
        <v>2.4574331566071805</v>
      </c>
      <c r="S137" s="4">
        <f t="shared" si="29"/>
        <v>433.57182209374372</v>
      </c>
    </row>
    <row r="138" spans="1:19" x14ac:dyDescent="0.5">
      <c r="A138" s="3"/>
      <c r="C138">
        <f t="shared" si="21"/>
        <v>-63.480000000000246</v>
      </c>
      <c r="D138" s="23">
        <f t="shared" si="15"/>
        <v>4.1886222220855505</v>
      </c>
      <c r="E138" s="92">
        <f t="shared" si="22"/>
        <v>0</v>
      </c>
      <c r="F138" s="3">
        <f t="shared" si="23"/>
        <v>-15.840641378136098</v>
      </c>
      <c r="G138" s="4">
        <f t="shared" si="16"/>
        <v>119.83919984312649</v>
      </c>
      <c r="I138" s="25">
        <f t="shared" si="17"/>
        <v>-14.970226387958974</v>
      </c>
      <c r="J138">
        <f t="shared" si="18"/>
        <v>0.87041499017712454</v>
      </c>
      <c r="K138" s="4">
        <f t="shared" si="19"/>
        <v>125.8994580977631</v>
      </c>
      <c r="M138" s="3">
        <f t="shared" si="24"/>
        <v>201.48000000000025</v>
      </c>
      <c r="N138">
        <f t="shared" si="25"/>
        <v>-63.480000000000246</v>
      </c>
      <c r="O138">
        <f t="shared" si="26"/>
        <v>-15.840432447824071</v>
      </c>
      <c r="P138">
        <f t="shared" si="20"/>
        <v>119.84188317694451</v>
      </c>
      <c r="Q138">
        <f t="shared" si="27"/>
        <v>0.20893031202717793</v>
      </c>
      <c r="R138">
        <f t="shared" si="28"/>
        <v>2.6833338180125565</v>
      </c>
      <c r="S138" s="4">
        <f t="shared" si="29"/>
        <v>434.34175536102435</v>
      </c>
    </row>
    <row r="139" spans="1:19" x14ac:dyDescent="0.5">
      <c r="A139" s="3"/>
      <c r="C139">
        <f t="shared" si="21"/>
        <v>-62.790000000000248</v>
      </c>
      <c r="D139" s="23">
        <f t="shared" si="15"/>
        <v>4.0957002484584022</v>
      </c>
      <c r="E139" s="92">
        <f t="shared" si="22"/>
        <v>0</v>
      </c>
      <c r="F139" s="3">
        <f t="shared" si="23"/>
        <v>-15.9233304264237</v>
      </c>
      <c r="G139" s="4">
        <f t="shared" si="16"/>
        <v>118.25036575015172</v>
      </c>
      <c r="I139" s="25">
        <f t="shared" si="17"/>
        <v>-15.057097014505416</v>
      </c>
      <c r="J139">
        <f t="shared" si="18"/>
        <v>0.86623341191828374</v>
      </c>
      <c r="K139" s="4">
        <f t="shared" si="19"/>
        <v>124.52347963069872</v>
      </c>
      <c r="M139" s="3">
        <f t="shared" si="24"/>
        <v>200.79000000000025</v>
      </c>
      <c r="N139">
        <f t="shared" si="25"/>
        <v>-62.790000000000248</v>
      </c>
      <c r="O139">
        <f t="shared" si="26"/>
        <v>-15.923123347612034</v>
      </c>
      <c r="P139">
        <f t="shared" si="20"/>
        <v>118.25327238490479</v>
      </c>
      <c r="Q139">
        <f t="shared" si="27"/>
        <v>0.20707881166615039</v>
      </c>
      <c r="R139">
        <f t="shared" si="28"/>
        <v>2.9066347530743997</v>
      </c>
      <c r="S139" s="4">
        <f t="shared" si="29"/>
        <v>435.11208421874011</v>
      </c>
    </row>
    <row r="140" spans="1:19" x14ac:dyDescent="0.5">
      <c r="A140" s="3"/>
      <c r="C140">
        <f t="shared" si="21"/>
        <v>-62.10000000000025</v>
      </c>
      <c r="D140" s="23">
        <f t="shared" si="15"/>
        <v>4.0038745703709431</v>
      </c>
      <c r="E140" s="92">
        <f t="shared" si="22"/>
        <v>0</v>
      </c>
      <c r="F140" s="3">
        <f t="shared" si="23"/>
        <v>-16.004923179171612</v>
      </c>
      <c r="G140" s="4">
        <f t="shared" si="16"/>
        <v>116.66434688972826</v>
      </c>
      <c r="I140" s="25">
        <f t="shared" si="17"/>
        <v>-15.143018215894699</v>
      </c>
      <c r="J140">
        <f t="shared" si="18"/>
        <v>0.86190496327691335</v>
      </c>
      <c r="K140" s="4">
        <f t="shared" si="19"/>
        <v>123.14750116316283</v>
      </c>
      <c r="M140" s="3">
        <f t="shared" si="24"/>
        <v>200.10000000000025</v>
      </c>
      <c r="N140">
        <f t="shared" si="25"/>
        <v>-62.10000000000025</v>
      </c>
      <c r="O140">
        <f t="shared" si="26"/>
        <v>-16.004718105937954</v>
      </c>
      <c r="P140">
        <f t="shared" si="20"/>
        <v>116.66747409286489</v>
      </c>
      <c r="Q140">
        <f t="shared" si="27"/>
        <v>0.20507323365848151</v>
      </c>
      <c r="R140">
        <f t="shared" si="28"/>
        <v>3.1272031366285091</v>
      </c>
      <c r="S140" s="4">
        <f t="shared" si="29"/>
        <v>435.88281602709498</v>
      </c>
    </row>
    <row r="141" spans="1:19" x14ac:dyDescent="0.5">
      <c r="A141" s="3"/>
      <c r="C141">
        <f t="shared" si="21"/>
        <v>-61.410000000000252</v>
      </c>
      <c r="D141" s="23">
        <f t="shared" si="15"/>
        <v>3.9131432453122783</v>
      </c>
      <c r="E141" s="92">
        <f t="shared" si="22"/>
        <v>0</v>
      </c>
      <c r="F141" s="3">
        <f t="shared" si="23"/>
        <v>-16.085421578890735</v>
      </c>
      <c r="G141" s="4">
        <f t="shared" si="16"/>
        <v>115.08113488776083</v>
      </c>
      <c r="I141" s="25">
        <f t="shared" si="17"/>
        <v>-15.227989992126822</v>
      </c>
      <c r="J141">
        <f t="shared" si="18"/>
        <v>0.85743158676391218</v>
      </c>
      <c r="K141" s="4">
        <f t="shared" si="19"/>
        <v>121.77160705408822</v>
      </c>
      <c r="M141" s="3">
        <f t="shared" si="24"/>
        <v>199.41000000000025</v>
      </c>
      <c r="N141">
        <f t="shared" si="25"/>
        <v>-61.410000000000252</v>
      </c>
      <c r="O141">
        <f t="shared" si="26"/>
        <v>-16.08521866342727</v>
      </c>
      <c r="P141">
        <f t="shared" si="20"/>
        <v>115.08447982323737</v>
      </c>
      <c r="Q141">
        <f t="shared" si="27"/>
        <v>0.20291546346484779</v>
      </c>
      <c r="R141">
        <f t="shared" si="28"/>
        <v>3.3449354765480166</v>
      </c>
      <c r="S141" s="4">
        <f t="shared" si="29"/>
        <v>436.65394692897627</v>
      </c>
    </row>
    <row r="142" spans="1:19" x14ac:dyDescent="0.5">
      <c r="A142" s="3"/>
      <c r="C142">
        <f t="shared" si="21"/>
        <v>-60.720000000000255</v>
      </c>
      <c r="D142" s="23">
        <f t="shared" si="15"/>
        <v>3.8235043365496364</v>
      </c>
      <c r="E142" s="92">
        <f t="shared" si="22"/>
        <v>0</v>
      </c>
      <c r="F142" s="3">
        <f t="shared" si="23"/>
        <v>-16.164827562313832</v>
      </c>
      <c r="G142" s="4">
        <f t="shared" si="16"/>
        <v>113.50072140506325</v>
      </c>
      <c r="I142" s="25">
        <f t="shared" si="17"/>
        <v>-15.312012401409447</v>
      </c>
      <c r="J142">
        <f t="shared" si="18"/>
        <v>0.85281516090438458</v>
      </c>
      <c r="K142" s="4">
        <f t="shared" si="19"/>
        <v>120.39562858562495</v>
      </c>
      <c r="M142" s="3">
        <f t="shared" si="24"/>
        <v>198.72000000000025</v>
      </c>
      <c r="N142">
        <f t="shared" si="25"/>
        <v>-60.720000000000255</v>
      </c>
      <c r="O142">
        <f t="shared" si="26"/>
        <v>-16.164626954855876</v>
      </c>
      <c r="P142">
        <f t="shared" si="20"/>
        <v>113.50428112160459</v>
      </c>
      <c r="Q142">
        <f t="shared" si="27"/>
        <v>0.20060745795547064</v>
      </c>
      <c r="R142">
        <f t="shared" si="28"/>
        <v>3.5597165413463472</v>
      </c>
      <c r="S142" s="4">
        <f t="shared" si="29"/>
        <v>437.42547735575755</v>
      </c>
    </row>
    <row r="143" spans="1:19" x14ac:dyDescent="0.5">
      <c r="A143" s="3"/>
      <c r="C143">
        <f t="shared" si="21"/>
        <v>-60.030000000000257</v>
      </c>
      <c r="D143" s="23">
        <f t="shared" si="15"/>
        <v>3.7349559131042995</v>
      </c>
      <c r="E143" s="92">
        <f t="shared" si="22"/>
        <v>0</v>
      </c>
      <c r="F143" s="3">
        <f t="shared" si="23"/>
        <v>-16.243143060419623</v>
      </c>
      <c r="G143" s="4">
        <f t="shared" si="16"/>
        <v>111.92309813710624</v>
      </c>
      <c r="I143" s="25">
        <f t="shared" si="17"/>
        <v>-15.395085385534912</v>
      </c>
      <c r="J143">
        <f t="shared" si="18"/>
        <v>0.84805767488471062</v>
      </c>
      <c r="K143" s="4">
        <f t="shared" si="19"/>
        <v>119.01965011670578</v>
      </c>
      <c r="M143" s="3">
        <f t="shared" si="24"/>
        <v>198.03000000000026</v>
      </c>
      <c r="N143">
        <f t="shared" si="25"/>
        <v>-60.030000000000257</v>
      </c>
      <c r="O143">
        <f t="shared" si="26"/>
        <v>-16.242944909166113</v>
      </c>
      <c r="P143">
        <f t="shared" si="20"/>
        <v>111.92686957216523</v>
      </c>
      <c r="Q143">
        <f t="shared" si="27"/>
        <v>0.1981512535103036</v>
      </c>
      <c r="R143">
        <f t="shared" si="28"/>
        <v>3.7714350589936885</v>
      </c>
      <c r="S143" s="4">
        <f t="shared" si="29"/>
        <v>438.19740780474365</v>
      </c>
    </row>
    <row r="144" spans="1:19" x14ac:dyDescent="0.5">
      <c r="A144" s="3"/>
      <c r="C144">
        <f t="shared" si="21"/>
        <v>-59.340000000000259</v>
      </c>
      <c r="D144" s="23">
        <f t="shared" si="15"/>
        <v>3.6474960497276854</v>
      </c>
      <c r="E144" s="92">
        <f t="shared" si="22"/>
        <v>0</v>
      </c>
      <c r="F144" s="3">
        <f t="shared" si="23"/>
        <v>-16.320369998456695</v>
      </c>
      <c r="G144" s="4">
        <f t="shared" si="16"/>
        <v>110.3482568138475</v>
      </c>
      <c r="I144" s="25">
        <f t="shared" si="17"/>
        <v>-15.477208944503218</v>
      </c>
      <c r="J144">
        <f t="shared" si="18"/>
        <v>0.84316105395347662</v>
      </c>
      <c r="K144" s="4">
        <f t="shared" si="19"/>
        <v>117.64367164733591</v>
      </c>
      <c r="M144" s="3">
        <f t="shared" si="24"/>
        <v>197.34000000000026</v>
      </c>
      <c r="N144">
        <f t="shared" si="25"/>
        <v>-59.340000000000259</v>
      </c>
      <c r="O144">
        <f t="shared" si="26"/>
        <v>-16.320174449493408</v>
      </c>
      <c r="P144">
        <f t="shared" si="20"/>
        <v>110.35223679773436</v>
      </c>
      <c r="Q144">
        <f t="shared" si="27"/>
        <v>0.19554896328699556</v>
      </c>
      <c r="R144">
        <f t="shared" si="28"/>
        <v>3.979983886864602</v>
      </c>
      <c r="S144" s="4">
        <f t="shared" si="29"/>
        <v>438.96973812082712</v>
      </c>
    </row>
    <row r="145" spans="1:19" x14ac:dyDescent="0.5">
      <c r="A145" s="3"/>
      <c r="C145">
        <f t="shared" si="21"/>
        <v>-58.650000000000261</v>
      </c>
      <c r="D145" s="23">
        <f t="shared" si="15"/>
        <v>3.5611228268775377</v>
      </c>
      <c r="E145" s="92">
        <f t="shared" si="22"/>
        <v>0</v>
      </c>
      <c r="F145" s="3">
        <f t="shared" si="23"/>
        <v>-16.396510295967296</v>
      </c>
      <c r="G145" s="4">
        <f t="shared" si="16"/>
        <v>108.77618919958236</v>
      </c>
      <c r="I145" s="25">
        <f t="shared" si="17"/>
        <v>-15.558383078314364</v>
      </c>
      <c r="J145">
        <f t="shared" si="18"/>
        <v>0.83812721765293219</v>
      </c>
      <c r="K145" s="4">
        <f t="shared" si="19"/>
        <v>116.26786189537603</v>
      </c>
      <c r="M145" s="3">
        <f t="shared" si="24"/>
        <v>196.65000000000026</v>
      </c>
      <c r="N145">
        <f t="shared" si="25"/>
        <v>-58.650000000000261</v>
      </c>
      <c r="O145">
        <f t="shared" si="26"/>
        <v>-16.396317493192925</v>
      </c>
      <c r="P145">
        <f t="shared" si="20"/>
        <v>108.78037445716893</v>
      </c>
      <c r="Q145">
        <f t="shared" si="27"/>
        <v>0.1928027743716143</v>
      </c>
      <c r="R145">
        <f t="shared" si="28"/>
        <v>4.1852575865704011</v>
      </c>
      <c r="S145" s="4">
        <f t="shared" si="29"/>
        <v>439.7424718134651</v>
      </c>
    </row>
    <row r="146" spans="1:19" x14ac:dyDescent="0.5">
      <c r="A146" s="3"/>
      <c r="C146">
        <f t="shared" si="21"/>
        <v>-57.960000000000264</v>
      </c>
      <c r="D146" s="23">
        <f t="shared" si="15"/>
        <v>3.4758343306942532</v>
      </c>
      <c r="E146" s="92">
        <f t="shared" si="22"/>
        <v>0</v>
      </c>
      <c r="F146" s="3">
        <f t="shared" si="23"/>
        <v>-16.471565866811034</v>
      </c>
      <c r="G146" s="4">
        <f t="shared" si="16"/>
        <v>107.20688709272757</v>
      </c>
      <c r="I146" s="25">
        <f t="shared" si="17"/>
        <v>-15.638607903383672</v>
      </c>
      <c r="J146">
        <f t="shared" si="18"/>
        <v>0.83295796342736139</v>
      </c>
      <c r="K146" s="4">
        <f t="shared" si="19"/>
        <v>114.89179906619273</v>
      </c>
      <c r="M146" s="3">
        <f t="shared" si="24"/>
        <v>195.96000000000026</v>
      </c>
      <c r="N146">
        <f t="shared" si="25"/>
        <v>-57.960000000000264</v>
      </c>
      <c r="O146">
        <f t="shared" si="26"/>
        <v>-16.471375951864431</v>
      </c>
      <c r="P146">
        <f t="shared" si="20"/>
        <v>107.21127425824002</v>
      </c>
      <c r="Q146">
        <f t="shared" si="27"/>
        <v>0.18991494660269836</v>
      </c>
      <c r="R146">
        <f t="shared" si="28"/>
        <v>4.3871655124547715</v>
      </c>
      <c r="S146" s="4">
        <f t="shared" si="29"/>
        <v>440.5156067083326</v>
      </c>
    </row>
    <row r="147" spans="1:19" x14ac:dyDescent="0.5">
      <c r="A147" s="3"/>
      <c r="C147">
        <f t="shared" si="21"/>
        <v>-57.270000000000266</v>
      </c>
      <c r="D147" s="23">
        <f t="shared" si="15"/>
        <v>3.3916286529773298</v>
      </c>
      <c r="E147" s="92">
        <f t="shared" si="22"/>
        <v>0</v>
      </c>
      <c r="F147" s="3">
        <f t="shared" si="23"/>
        <v>-16.545538619188413</v>
      </c>
      <c r="G147" s="4">
        <f t="shared" si="16"/>
        <v>105.64034232563073</v>
      </c>
      <c r="I147" s="25">
        <f t="shared" si="17"/>
        <v>-15.71788324508816</v>
      </c>
      <c r="J147">
        <f t="shared" si="18"/>
        <v>0.82765537410025303</v>
      </c>
      <c r="K147" s="4">
        <f t="shared" si="19"/>
        <v>113.51590495442989</v>
      </c>
      <c r="M147" s="3">
        <f t="shared" si="24"/>
        <v>195.27000000000027</v>
      </c>
      <c r="N147">
        <f t="shared" si="25"/>
        <v>-57.270000000000266</v>
      </c>
      <c r="O147">
        <f t="shared" si="26"/>
        <v>-16.545351731386049</v>
      </c>
      <c r="P147">
        <f t="shared" si="20"/>
        <v>105.64492793703727</v>
      </c>
      <c r="Q147">
        <f t="shared" si="27"/>
        <v>0.18688780236431057</v>
      </c>
      <c r="R147">
        <f t="shared" si="28"/>
        <v>4.5856114065401243</v>
      </c>
      <c r="S147" s="4">
        <f t="shared" si="29"/>
        <v>441.28914065907958</v>
      </c>
    </row>
    <row r="148" spans="1:19" x14ac:dyDescent="0.5">
      <c r="A148" s="3"/>
      <c r="C148">
        <f t="shared" si="21"/>
        <v>-56.580000000000268</v>
      </c>
      <c r="D148" s="23">
        <f t="shared" si="15"/>
        <v>3.3085038911619464</v>
      </c>
      <c r="E148" s="92">
        <f t="shared" si="22"/>
        <v>0</v>
      </c>
      <c r="F148" s="3">
        <f t="shared" si="23"/>
        <v>-16.618430455664253</v>
      </c>
      <c r="G148" s="4">
        <f t="shared" si="16"/>
        <v>104.07654676442108</v>
      </c>
      <c r="I148" s="25">
        <f t="shared" si="17"/>
        <v>-15.796209219843149</v>
      </c>
      <c r="J148">
        <f t="shared" si="18"/>
        <v>0.82222123582110385</v>
      </c>
      <c r="K148" s="4">
        <f t="shared" si="19"/>
        <v>112.13984212438164</v>
      </c>
      <c r="M148" s="3">
        <f t="shared" si="24"/>
        <v>194.58000000000027</v>
      </c>
      <c r="N148">
        <f t="shared" si="25"/>
        <v>-56.580000000000268</v>
      </c>
      <c r="O148">
        <f t="shared" si="26"/>
        <v>-16.618246731933795</v>
      </c>
      <c r="P148">
        <f t="shared" si="20"/>
        <v>104.08132725796898</v>
      </c>
      <c r="Q148">
        <f t="shared" si="27"/>
        <v>0.18372373045849599</v>
      </c>
      <c r="R148">
        <f t="shared" si="28"/>
        <v>4.7804935478978905</v>
      </c>
      <c r="S148" s="4">
        <f t="shared" si="29"/>
        <v>442.06307592244542</v>
      </c>
    </row>
    <row r="149" spans="1:19" x14ac:dyDescent="0.5">
      <c r="A149" s="3"/>
      <c r="C149">
        <f t="shared" si="21"/>
        <v>-55.890000000000271</v>
      </c>
      <c r="D149" s="23">
        <f t="shared" si="15"/>
        <v>3.2264581482956598</v>
      </c>
      <c r="E149" s="92">
        <f t="shared" si="22"/>
        <v>0</v>
      </c>
      <c r="F149" s="3">
        <f t="shared" si="23"/>
        <v>-16.690243273190994</v>
      </c>
      <c r="G149" s="4">
        <f t="shared" si="16"/>
        <v>102.51549230882402</v>
      </c>
      <c r="I149" s="25">
        <f t="shared" si="17"/>
        <v>-15.873585711233318</v>
      </c>
      <c r="J149">
        <f t="shared" si="18"/>
        <v>0.81665756195767614</v>
      </c>
      <c r="K149" s="4">
        <f t="shared" si="19"/>
        <v>110.76403237069219</v>
      </c>
      <c r="M149" s="3">
        <f t="shared" si="24"/>
        <v>193.89000000000027</v>
      </c>
      <c r="N149">
        <f t="shared" si="25"/>
        <v>-55.890000000000271</v>
      </c>
      <c r="O149">
        <f t="shared" si="26"/>
        <v>-16.690062848001119</v>
      </c>
      <c r="P149">
        <f t="shared" si="20"/>
        <v>102.52046402920872</v>
      </c>
      <c r="Q149">
        <f t="shared" si="27"/>
        <v>0.18042518987471112</v>
      </c>
      <c r="R149">
        <f t="shared" si="28"/>
        <v>4.9717203847023939</v>
      </c>
      <c r="S149" s="4">
        <f t="shared" si="29"/>
        <v>442.83741704034446</v>
      </c>
    </row>
    <row r="150" spans="1:19" x14ac:dyDescent="0.5">
      <c r="A150" s="3"/>
      <c r="C150">
        <f t="shared" si="21"/>
        <v>-55.200000000000273</v>
      </c>
      <c r="D150" s="23">
        <f t="shared" si="15"/>
        <v>3.1454895330152279</v>
      </c>
      <c r="E150" s="92">
        <f t="shared" si="22"/>
        <v>0</v>
      </c>
      <c r="F150" s="3">
        <f t="shared" si="23"/>
        <v>-16.76097896313188</v>
      </c>
      <c r="G150" s="4">
        <f t="shared" si="16"/>
        <v>100.95717089196042</v>
      </c>
      <c r="I150" s="25">
        <f t="shared" si="17"/>
        <v>-15.950012893881649</v>
      </c>
      <c r="J150">
        <f t="shared" si="18"/>
        <v>0.81096606925023096</v>
      </c>
      <c r="K150" s="4">
        <f t="shared" si="19"/>
        <v>109.38805389872772</v>
      </c>
      <c r="M150" s="3">
        <f t="shared" si="24"/>
        <v>193.20000000000027</v>
      </c>
      <c r="N150">
        <f t="shared" si="25"/>
        <v>-55.200000000000273</v>
      </c>
      <c r="O150">
        <f t="shared" si="26"/>
        <v>-16.760801968429107</v>
      </c>
      <c r="P150">
        <f t="shared" si="20"/>
        <v>100.96233011041853</v>
      </c>
      <c r="Q150">
        <f t="shared" si="27"/>
        <v>0.17699470277321439</v>
      </c>
      <c r="R150">
        <f t="shared" si="28"/>
        <v>5.1592184581181755</v>
      </c>
      <c r="S150" s="4">
        <f t="shared" si="29"/>
        <v>443.61215913124482</v>
      </c>
    </row>
    <row r="151" spans="1:19" x14ac:dyDescent="0.5">
      <c r="A151" s="3"/>
      <c r="C151">
        <f t="shared" si="21"/>
        <v>-54.510000000000275</v>
      </c>
      <c r="D151" s="23">
        <f t="shared" si="15"/>
        <v>3.0655961595235635</v>
      </c>
      <c r="E151" s="92">
        <f t="shared" si="22"/>
        <v>0</v>
      </c>
      <c r="F151" s="3">
        <f t="shared" si="23"/>
        <v>-16.830639411284</v>
      </c>
      <c r="G151" s="4">
        <f t="shared" si="16"/>
        <v>99.401574480192011</v>
      </c>
      <c r="I151" s="25">
        <f t="shared" si="17"/>
        <v>-16.02549065137282</v>
      </c>
      <c r="J151">
        <f t="shared" si="18"/>
        <v>0.80514875991118018</v>
      </c>
      <c r="K151" s="4">
        <f t="shared" si="19"/>
        <v>108.01199106742116</v>
      </c>
      <c r="M151" s="3">
        <f t="shared" si="24"/>
        <v>192.51000000000028</v>
      </c>
      <c r="N151">
        <f t="shared" si="25"/>
        <v>-54.510000000000275</v>
      </c>
      <c r="O151">
        <f t="shared" si="26"/>
        <v>-16.830465976441999</v>
      </c>
      <c r="P151">
        <f t="shared" si="20"/>
        <v>99.406917379281339</v>
      </c>
      <c r="Q151">
        <f t="shared" si="27"/>
        <v>0.17343484200083026</v>
      </c>
      <c r="R151">
        <f t="shared" si="28"/>
        <v>5.342899089328057</v>
      </c>
      <c r="S151" s="4">
        <f t="shared" si="29"/>
        <v>444.38730172358754</v>
      </c>
    </row>
    <row r="152" spans="1:19" x14ac:dyDescent="0.5">
      <c r="A152" s="3"/>
      <c r="C152">
        <f t="shared" si="21"/>
        <v>-53.820000000000277</v>
      </c>
      <c r="D152" s="23">
        <f t="shared" si="15"/>
        <v>2.9867761475667929</v>
      </c>
      <c r="E152" s="92">
        <f t="shared" si="22"/>
        <v>0</v>
      </c>
      <c r="F152" s="3">
        <f t="shared" si="23"/>
        <v>-16.899226497901228</v>
      </c>
      <c r="G152" s="4">
        <f t="shared" si="16"/>
        <v>97.848695072931051</v>
      </c>
      <c r="I152" s="25">
        <f t="shared" si="17"/>
        <v>-16.100018925499171</v>
      </c>
      <c r="J152">
        <f t="shared" si="18"/>
        <v>0.79920757240205731</v>
      </c>
      <c r="K152" s="4">
        <f t="shared" si="19"/>
        <v>106.63618131248926</v>
      </c>
      <c r="M152" s="3">
        <f t="shared" si="24"/>
        <v>191.82000000000028</v>
      </c>
      <c r="N152">
        <f t="shared" si="25"/>
        <v>-53.820000000000277</v>
      </c>
      <c r="O152">
        <f t="shared" si="26"/>
        <v>-16.899056749659636</v>
      </c>
      <c r="P152">
        <f t="shared" si="20"/>
        <v>97.854217746947597</v>
      </c>
      <c r="Q152">
        <f t="shared" si="27"/>
        <v>0.16974824159277091</v>
      </c>
      <c r="R152">
        <f t="shared" si="28"/>
        <v>5.5226740165466026</v>
      </c>
      <c r="S152" s="4">
        <f t="shared" si="29"/>
        <v>445.16285474826077</v>
      </c>
    </row>
    <row r="153" spans="1:19" x14ac:dyDescent="0.5">
      <c r="A153" s="3"/>
      <c r="C153">
        <f t="shared" si="21"/>
        <v>-53.13000000000028</v>
      </c>
      <c r="D153" s="23">
        <f t="shared" si="15"/>
        <v>2.9090276224114535</v>
      </c>
      <c r="E153" s="92">
        <f t="shared" si="22"/>
        <v>0</v>
      </c>
      <c r="F153" s="3">
        <f t="shared" si="23"/>
        <v>-16.966742097717024</v>
      </c>
      <c r="G153" s="4">
        <f t="shared" si="16"/>
        <v>96.298524702475433</v>
      </c>
      <c r="I153" s="25">
        <f t="shared" si="17"/>
        <v>-16.173597890883684</v>
      </c>
      <c r="J153">
        <f t="shared" si="18"/>
        <v>0.79314420683333964</v>
      </c>
      <c r="K153" s="4">
        <f t="shared" si="19"/>
        <v>105.26011848036987</v>
      </c>
      <c r="M153" s="3">
        <f t="shared" si="24"/>
        <v>191.13000000000028</v>
      </c>
      <c r="N153">
        <f t="shared" si="25"/>
        <v>-53.13000000000028</v>
      </c>
      <c r="O153">
        <f t="shared" si="26"/>
        <v>-16.966576160120539</v>
      </c>
      <c r="P153">
        <f t="shared" si="20"/>
        <v>96.304223194077295</v>
      </c>
      <c r="Q153">
        <f t="shared" si="27"/>
        <v>0.16593759648486639</v>
      </c>
      <c r="R153">
        <f t="shared" si="28"/>
        <v>5.6984916018620879</v>
      </c>
      <c r="S153" s="4">
        <f t="shared" si="29"/>
        <v>445.93880087961099</v>
      </c>
    </row>
    <row r="154" spans="1:19" x14ac:dyDescent="0.5">
      <c r="A154" s="3"/>
      <c r="C154">
        <f t="shared" si="21"/>
        <v>-52.440000000000282</v>
      </c>
      <c r="D154" s="23">
        <f t="shared" si="15"/>
        <v>2.8323487148218045</v>
      </c>
      <c r="E154" s="92">
        <f t="shared" si="22"/>
        <v>0</v>
      </c>
      <c r="F154" s="3">
        <f t="shared" si="23"/>
        <v>-17.033188079967125</v>
      </c>
      <c r="G154" s="4">
        <f t="shared" si="16"/>
        <v>94.751055433854262</v>
      </c>
      <c r="I154" s="25">
        <f t="shared" si="17"/>
        <v>-16.246227372903377</v>
      </c>
      <c r="J154">
        <f t="shared" si="18"/>
        <v>0.78696070706374854</v>
      </c>
      <c r="K154" s="4">
        <f t="shared" si="19"/>
        <v>103.88430872463573</v>
      </c>
      <c r="M154" s="3">
        <f t="shared" si="24"/>
        <v>190.44000000000028</v>
      </c>
      <c r="N154">
        <f t="shared" si="25"/>
        <v>-52.440000000000282</v>
      </c>
      <c r="O154">
        <f t="shared" si="26"/>
        <v>-17.033026074329882</v>
      </c>
      <c r="P154">
        <f t="shared" si="20"/>
        <v>94.756925675586018</v>
      </c>
      <c r="Q154">
        <f t="shared" si="27"/>
        <v>0.16200563724311223</v>
      </c>
      <c r="R154">
        <f t="shared" si="28"/>
        <v>5.8702417317562094</v>
      </c>
      <c r="S154" s="4">
        <f t="shared" si="29"/>
        <v>446.71515908969451</v>
      </c>
    </row>
    <row r="155" spans="1:19" x14ac:dyDescent="0.5">
      <c r="A155" s="3"/>
      <c r="C155">
        <f t="shared" si="21"/>
        <v>-51.750000000000284</v>
      </c>
      <c r="D155" s="23">
        <f t="shared" si="15"/>
        <v>2.7567375610372515</v>
      </c>
      <c r="E155" s="92">
        <f t="shared" si="22"/>
        <v>0</v>
      </c>
      <c r="F155" s="3">
        <f t="shared" si="23"/>
        <v>-17.098566308412135</v>
      </c>
      <c r="G155" s="4">
        <f t="shared" si="16"/>
        <v>93.206279364591026</v>
      </c>
      <c r="I155" s="25">
        <f t="shared" si="17"/>
        <v>-16.317907546181232</v>
      </c>
      <c r="J155">
        <f t="shared" si="18"/>
        <v>0.78065876223090314</v>
      </c>
      <c r="K155" s="4">
        <f t="shared" si="19"/>
        <v>102.50824589172437</v>
      </c>
      <c r="M155" s="3">
        <f t="shared" si="24"/>
        <v>189.75000000000028</v>
      </c>
      <c r="N155">
        <f t="shared" si="25"/>
        <v>-51.750000000000284</v>
      </c>
      <c r="O155">
        <f t="shared" si="26"/>
        <v>-17.098408353241723</v>
      </c>
      <c r="P155">
        <f t="shared" si="20"/>
        <v>93.212317246792011</v>
      </c>
      <c r="Q155">
        <f t="shared" si="27"/>
        <v>0.15795517041183871</v>
      </c>
      <c r="R155">
        <f t="shared" si="28"/>
        <v>6.0378822009852229</v>
      </c>
      <c r="S155" s="4">
        <f t="shared" si="29"/>
        <v>447.4919150512149</v>
      </c>
    </row>
    <row r="156" spans="1:19" x14ac:dyDescent="0.5">
      <c r="A156" s="3"/>
      <c r="C156">
        <f t="shared" si="21"/>
        <v>-51.060000000000286</v>
      </c>
      <c r="D156" s="23">
        <f t="shared" si="15"/>
        <v>2.6821923027499031</v>
      </c>
      <c r="E156" s="92">
        <f t="shared" si="22"/>
        <v>0</v>
      </c>
      <c r="F156" s="3">
        <f t="shared" si="23"/>
        <v>-17.162878641359939</v>
      </c>
      <c r="G156" s="4">
        <f t="shared" si="16"/>
        <v>91.664188624610915</v>
      </c>
      <c r="I156" s="25">
        <f t="shared" si="17"/>
        <v>-16.388638236094266</v>
      </c>
      <c r="J156">
        <f t="shared" si="18"/>
        <v>0.77424040526567239</v>
      </c>
      <c r="K156" s="4">
        <f t="shared" si="19"/>
        <v>101.1323517762808</v>
      </c>
      <c r="M156" s="3">
        <f t="shared" si="24"/>
        <v>189.06000000000029</v>
      </c>
      <c r="N156">
        <f t="shared" si="25"/>
        <v>-51.060000000000286</v>
      </c>
      <c r="O156">
        <f t="shared" si="26"/>
        <v>-17.162724852328282</v>
      </c>
      <c r="P156">
        <f t="shared" si="20"/>
        <v>91.670389947566889</v>
      </c>
      <c r="Q156">
        <f t="shared" si="27"/>
        <v>0.15378903165697011</v>
      </c>
      <c r="R156">
        <f t="shared" si="28"/>
        <v>6.2013229559738647</v>
      </c>
      <c r="S156" s="4">
        <f t="shared" si="29"/>
        <v>448.26908278342302</v>
      </c>
    </row>
    <row r="157" spans="1:19" x14ac:dyDescent="0.5">
      <c r="A157" s="3"/>
      <c r="C157">
        <f t="shared" si="21"/>
        <v>-50.370000000000289</v>
      </c>
      <c r="D157" s="23">
        <f t="shared" si="15"/>
        <v>2.6087110870822352</v>
      </c>
      <c r="E157" s="92">
        <f t="shared" si="22"/>
        <v>0</v>
      </c>
      <c r="F157" s="3">
        <f t="shared" si="23"/>
        <v>-17.226126931688064</v>
      </c>
      <c r="G157" s="4">
        <f t="shared" si="16"/>
        <v>90.12477537600391</v>
      </c>
      <c r="I157" s="25">
        <f t="shared" si="17"/>
        <v>-16.458419559057802</v>
      </c>
      <c r="J157">
        <f t="shared" si="18"/>
        <v>0.76770737263026234</v>
      </c>
      <c r="K157" s="4">
        <f t="shared" si="19"/>
        <v>99.756373301526295</v>
      </c>
      <c r="M157" s="3">
        <f t="shared" si="24"/>
        <v>188.37000000000029</v>
      </c>
      <c r="N157">
        <f t="shared" si="25"/>
        <v>-50.370000000000289</v>
      </c>
      <c r="O157">
        <f t="shared" si="26"/>
        <v>-17.225977421569283</v>
      </c>
      <c r="P157">
        <f t="shared" si="20"/>
        <v>90.131135900163926</v>
      </c>
      <c r="Q157">
        <f t="shared" si="27"/>
        <v>0.14951011878139298</v>
      </c>
      <c r="R157">
        <f t="shared" si="28"/>
        <v>6.3605241600157569</v>
      </c>
      <c r="S157" s="4">
        <f t="shared" si="29"/>
        <v>449.04664947293406</v>
      </c>
    </row>
    <row r="158" spans="1:19" x14ac:dyDescent="0.5">
      <c r="A158" s="3"/>
      <c r="C158">
        <f t="shared" si="21"/>
        <v>-49.680000000000291</v>
      </c>
      <c r="D158" s="23">
        <f t="shared" ref="D158:D221" si="30">+($B$35*C158^2+$B$36*C158^3+$B$37*C158^4+$B$38*C158^5+$B$39*C158^6+$B$40*C158^7+$B$41*C158^8+$B$42*C158^9+$B$43*C158^10)*1000</f>
        <v>2.5362920665648745</v>
      </c>
      <c r="E158" s="92">
        <f t="shared" si="22"/>
        <v>0</v>
      </c>
      <c r="F158" s="3">
        <f t="shared" si="23"/>
        <v>-17.288313026865875</v>
      </c>
      <c r="G158" s="4">
        <f t="shared" ref="G158:G221" si="31">+ATAN((F158-F159)/(1000*$F$19))*1000000</f>
        <v>88.588031812937345</v>
      </c>
      <c r="I158" s="25">
        <f t="shared" ref="I158:I221" si="32">(+I$25-(I$25^2-C158^2)^0.5)*1000-(+I$25-(I$25^2-C$30^2)^0.5)*1000</f>
        <v>-16.527251456864178</v>
      </c>
      <c r="J158">
        <f t="shared" ref="J158:J221" si="33">+(I158-F158)</f>
        <v>0.76106157000169716</v>
      </c>
      <c r="K158" s="4">
        <f t="shared" ref="K158:K221" si="34">+ATAN((I158-I159)/(1000*$F$19))*1000000</f>
        <v>98.380394826394067</v>
      </c>
      <c r="M158" s="3">
        <f t="shared" si="24"/>
        <v>187.68000000000029</v>
      </c>
      <c r="N158">
        <f t="shared" si="25"/>
        <v>-49.680000000000291</v>
      </c>
      <c r="O158">
        <f t="shared" si="26"/>
        <v>-17.2881679055088</v>
      </c>
      <c r="P158">
        <f t="shared" ref="P158:P221" si="35">+ATAN((O158-O159)/(1000*$F$19))*1000000</f>
        <v>88.594547216538558</v>
      </c>
      <c r="Q158">
        <f t="shared" si="27"/>
        <v>0.14512135707533957</v>
      </c>
      <c r="R158">
        <f t="shared" si="28"/>
        <v>6.5154036012131655</v>
      </c>
      <c r="S158" s="4">
        <f t="shared" si="29"/>
        <v>449.8246218127266</v>
      </c>
    </row>
    <row r="159" spans="1:19" x14ac:dyDescent="0.5">
      <c r="A159" s="3"/>
      <c r="C159">
        <f t="shared" ref="C159:C222" si="36">+C158+$F$19</f>
        <v>-48.990000000000293</v>
      </c>
      <c r="D159" s="23">
        <f t="shared" si="30"/>
        <v>2.4649333991145048</v>
      </c>
      <c r="E159" s="92">
        <f t="shared" ref="E159:E222" si="37">IF($B$20="YES",($E$25*$F$18^2/16/$O$3/$O$24*C159^2-$E$25/24/$O$3/$O$24*C159^4)*1000,0)</f>
        <v>0</v>
      </c>
      <c r="F159" s="3">
        <f t="shared" ref="F159:F222" si="38">+D159-$D$30+($F$18/2+C159)/$F$18*($D$30-D$430)+E159-MAX($E$30,$E$430)</f>
        <v>-17.349438768976704</v>
      </c>
      <c r="G159" s="4">
        <f t="shared" si="31"/>
        <v>87.053950161362351</v>
      </c>
      <c r="I159" s="25">
        <f t="shared" si="32"/>
        <v>-16.595133929513395</v>
      </c>
      <c r="J159">
        <f t="shared" si="33"/>
        <v>0.75430483946330895</v>
      </c>
      <c r="K159" s="4">
        <f t="shared" si="34"/>
        <v>97.004500709817364</v>
      </c>
      <c r="M159" s="3">
        <f t="shared" ref="M159:M222" si="39">+M158-$F$19</f>
        <v>186.99000000000029</v>
      </c>
      <c r="N159">
        <f t="shared" ref="N159:N222" si="40">+N158+$F$19</f>
        <v>-48.990000000000293</v>
      </c>
      <c r="O159">
        <f t="shared" ref="O159:O222" si="41">IF($O$9=0,(-$O$13*N159^3/6/$O$14+$O$12*N159^2/2/$O$14+$O$16*N159+$O$17)*1000,($O$18*(($O$14+$O$15*N159)/$O$15*LN($O$14+$O$15*N159)-N159)-$O$13*N159^2/(2*$O$15)+$O$16*N159+$O$17)*1000)</f>
        <v>-17.349298143248149</v>
      </c>
      <c r="P159">
        <f t="shared" si="35"/>
        <v>87.060616065283654</v>
      </c>
      <c r="Q159">
        <f t="shared" ref="Q159:Q222" si="42">+(O159-F159)*1000</f>
        <v>0.14062572855522149</v>
      </c>
      <c r="R159">
        <f t="shared" ref="R159:R222" si="43">+(P159-(G159))*1000</f>
        <v>6.6659039213021742</v>
      </c>
      <c r="S159" s="4">
        <f t="shared" ref="S159:S222" si="44">ABS(1000/((P160-P159)/(N160-N159)))</f>
        <v>450.60300058437201</v>
      </c>
    </row>
    <row r="160" spans="1:19" x14ac:dyDescent="0.5">
      <c r="A160" s="3"/>
      <c r="C160">
        <f t="shared" si="36"/>
        <v>-48.300000000000296</v>
      </c>
      <c r="D160" s="23">
        <f t="shared" si="30"/>
        <v>2.3946332480118819</v>
      </c>
      <c r="E160" s="92">
        <f t="shared" si="37"/>
        <v>0</v>
      </c>
      <c r="F160" s="3">
        <f t="shared" si="38"/>
        <v>-17.409505994739781</v>
      </c>
      <c r="G160" s="4">
        <f t="shared" si="31"/>
        <v>85.522522678988196</v>
      </c>
      <c r="I160" s="25">
        <f t="shared" si="32"/>
        <v>-16.662067035213113</v>
      </c>
      <c r="J160">
        <f t="shared" si="33"/>
        <v>0.74743895952666861</v>
      </c>
      <c r="K160" s="4">
        <f t="shared" si="34"/>
        <v>95.628522233945304</v>
      </c>
      <c r="M160" s="3">
        <f t="shared" si="39"/>
        <v>186.3000000000003</v>
      </c>
      <c r="N160">
        <f t="shared" si="40"/>
        <v>-48.300000000000296</v>
      </c>
      <c r="O160">
        <f t="shared" si="41"/>
        <v>-17.409369968484967</v>
      </c>
      <c r="P160">
        <f t="shared" si="35"/>
        <v>85.529334651033949</v>
      </c>
      <c r="Q160">
        <f t="shared" si="42"/>
        <v>0.13602625481468067</v>
      </c>
      <c r="R160">
        <f t="shared" si="43"/>
        <v>6.811972045753123</v>
      </c>
      <c r="S160" s="4">
        <f t="shared" si="44"/>
        <v>451.38178815623496</v>
      </c>
    </row>
    <row r="161" spans="1:19" x14ac:dyDescent="0.5">
      <c r="A161" s="3"/>
      <c r="C161">
        <f t="shared" si="36"/>
        <v>-47.610000000000298</v>
      </c>
      <c r="D161" s="23">
        <f t="shared" si="30"/>
        <v>2.3253897818799656</v>
      </c>
      <c r="E161" s="92">
        <f t="shared" si="37"/>
        <v>0</v>
      </c>
      <c r="F161" s="3">
        <f t="shared" si="38"/>
        <v>-17.468516535532153</v>
      </c>
      <c r="G161" s="4">
        <f t="shared" si="31"/>
        <v>83.993741655014418</v>
      </c>
      <c r="I161" s="25">
        <f t="shared" si="32"/>
        <v>-16.728050715755671</v>
      </c>
      <c r="J161">
        <f t="shared" si="33"/>
        <v>0.74046581977648174</v>
      </c>
      <c r="K161" s="4">
        <f t="shared" si="34"/>
        <v>94.252543757711138</v>
      </c>
      <c r="M161" s="3">
        <f t="shared" si="39"/>
        <v>185.6100000000003</v>
      </c>
      <c r="N161">
        <f t="shared" si="40"/>
        <v>-47.610000000000298</v>
      </c>
      <c r="O161">
        <f t="shared" si="41"/>
        <v>-17.468385209538084</v>
      </c>
      <c r="P161">
        <f t="shared" si="35"/>
        <v>84.000695219615039</v>
      </c>
      <c r="Q161">
        <f t="shared" si="42"/>
        <v>0.13132599406873169</v>
      </c>
      <c r="R161">
        <f t="shared" si="43"/>
        <v>6.9535646006215757</v>
      </c>
      <c r="S161" s="4">
        <f t="shared" si="44"/>
        <v>452.16097477966423</v>
      </c>
    </row>
    <row r="162" spans="1:19" x14ac:dyDescent="0.5">
      <c r="A162" s="3"/>
      <c r="C162">
        <f t="shared" si="36"/>
        <v>-46.9200000000003</v>
      </c>
      <c r="D162" s="23">
        <f t="shared" si="30"/>
        <v>2.2572011746621703</v>
      </c>
      <c r="E162" s="92">
        <f t="shared" si="37"/>
        <v>0</v>
      </c>
      <c r="F162" s="3">
        <f t="shared" si="38"/>
        <v>-17.526472217410404</v>
      </c>
      <c r="G162" s="4">
        <f t="shared" si="31"/>
        <v>82.467599410002222</v>
      </c>
      <c r="I162" s="25">
        <f t="shared" si="32"/>
        <v>-16.79308497114107</v>
      </c>
      <c r="J162">
        <f t="shared" si="33"/>
        <v>0.73338724626933427</v>
      </c>
      <c r="K162" s="4">
        <f t="shared" si="34"/>
        <v>92.876649640048186</v>
      </c>
      <c r="M162" s="3">
        <f t="shared" si="39"/>
        <v>184.9200000000003</v>
      </c>
      <c r="N162">
        <f t="shared" si="40"/>
        <v>-46.9200000000003</v>
      </c>
      <c r="O162">
        <f t="shared" si="41"/>
        <v>-17.526345689375944</v>
      </c>
      <c r="P162">
        <f t="shared" si="35"/>
        <v>82.474690016852392</v>
      </c>
      <c r="Q162">
        <f t="shared" si="42"/>
        <v>0.12652803446044913</v>
      </c>
      <c r="R162">
        <f t="shared" si="43"/>
        <v>7.0906068501699338</v>
      </c>
      <c r="S162" s="4">
        <f t="shared" si="44"/>
        <v>452.94057205879341</v>
      </c>
    </row>
    <row r="163" spans="1:19" x14ac:dyDescent="0.5">
      <c r="A163" s="3"/>
      <c r="C163">
        <f t="shared" si="36"/>
        <v>-46.230000000000302</v>
      </c>
      <c r="D163" s="23">
        <f t="shared" si="30"/>
        <v>2.1900656056007262</v>
      </c>
      <c r="E163" s="92">
        <f t="shared" si="37"/>
        <v>0</v>
      </c>
      <c r="F163" s="3">
        <f t="shared" si="38"/>
        <v>-17.583374861132302</v>
      </c>
      <c r="G163" s="4">
        <f t="shared" si="31"/>
        <v>80.944088295730253</v>
      </c>
      <c r="I163" s="25">
        <f t="shared" si="32"/>
        <v>-16.85716985957697</v>
      </c>
      <c r="J163">
        <f t="shared" si="33"/>
        <v>0.72620500155533207</v>
      </c>
      <c r="K163" s="4">
        <f t="shared" si="34"/>
        <v>91.500671163105451</v>
      </c>
      <c r="M163" s="3">
        <f t="shared" si="39"/>
        <v>184.2300000000003</v>
      </c>
      <c r="N163">
        <f t="shared" si="40"/>
        <v>-46.230000000000302</v>
      </c>
      <c r="O163">
        <f t="shared" si="41"/>
        <v>-17.583253225616602</v>
      </c>
      <c r="P163">
        <f t="shared" si="35"/>
        <v>80.951311360655453</v>
      </c>
      <c r="Q163">
        <f t="shared" si="42"/>
        <v>0.12163551570054665</v>
      </c>
      <c r="R163">
        <f t="shared" si="43"/>
        <v>7.2230649251991963</v>
      </c>
      <c r="S163" s="4">
        <f t="shared" si="44"/>
        <v>453.72057875593185</v>
      </c>
    </row>
    <row r="164" spans="1:19" x14ac:dyDescent="0.5">
      <c r="A164" s="3"/>
      <c r="C164">
        <f t="shared" si="36"/>
        <v>-45.540000000000305</v>
      </c>
      <c r="D164" s="23">
        <f t="shared" si="30"/>
        <v>2.1239812592151481</v>
      </c>
      <c r="E164" s="92">
        <f t="shared" si="37"/>
        <v>0</v>
      </c>
      <c r="F164" s="3">
        <f t="shared" si="38"/>
        <v>-17.639226282178335</v>
      </c>
      <c r="G164" s="4">
        <f t="shared" si="31"/>
        <v>79.423200694988665</v>
      </c>
      <c r="I164" s="25">
        <f t="shared" si="32"/>
        <v>-16.920305322855711</v>
      </c>
      <c r="J164">
        <f t="shared" si="33"/>
        <v>0.71892095932262379</v>
      </c>
      <c r="K164" s="4">
        <f t="shared" si="34"/>
        <v>90.124777044744405</v>
      </c>
      <c r="M164" s="3">
        <f t="shared" si="39"/>
        <v>183.5400000000003</v>
      </c>
      <c r="N164">
        <f t="shared" si="40"/>
        <v>-45.540000000000305</v>
      </c>
      <c r="O164">
        <f t="shared" si="41"/>
        <v>-17.639109630577465</v>
      </c>
      <c r="P164">
        <f t="shared" si="35"/>
        <v>79.430551597252332</v>
      </c>
      <c r="Q164">
        <f t="shared" si="42"/>
        <v>0.11665160086948845</v>
      </c>
      <c r="R164">
        <f t="shared" si="43"/>
        <v>7.3509022636670807</v>
      </c>
      <c r="S164" s="4">
        <f t="shared" si="44"/>
        <v>454.50098442187101</v>
      </c>
    </row>
    <row r="165" spans="1:19" x14ac:dyDescent="0.5">
      <c r="A165" s="3"/>
      <c r="C165">
        <f t="shared" si="36"/>
        <v>-44.850000000000307</v>
      </c>
      <c r="D165" s="23">
        <f t="shared" si="30"/>
        <v>2.0589463252808313</v>
      </c>
      <c r="E165" s="92">
        <f t="shared" si="37"/>
        <v>0</v>
      </c>
      <c r="F165" s="3">
        <f t="shared" si="38"/>
        <v>-17.694028290773108</v>
      </c>
      <c r="G165" s="4">
        <f t="shared" si="31"/>
        <v>77.904929021445255</v>
      </c>
      <c r="I165" s="25">
        <f t="shared" si="32"/>
        <v>-16.982491419184953</v>
      </c>
      <c r="J165">
        <f t="shared" si="33"/>
        <v>0.71153687158815515</v>
      </c>
      <c r="K165" s="4">
        <f t="shared" si="34"/>
        <v>88.74871420818576</v>
      </c>
      <c r="M165" s="3">
        <f t="shared" si="39"/>
        <v>182.85000000000031</v>
      </c>
      <c r="N165">
        <f t="shared" si="40"/>
        <v>-44.850000000000307</v>
      </c>
      <c r="O165">
        <f t="shared" si="41"/>
        <v>-17.693916711294833</v>
      </c>
      <c r="P165">
        <f t="shared" si="35"/>
        <v>77.912403070296591</v>
      </c>
      <c r="Q165">
        <f t="shared" si="42"/>
        <v>0.11157947827555859</v>
      </c>
      <c r="R165">
        <f t="shared" si="43"/>
        <v>7.474048851335624</v>
      </c>
      <c r="S165" s="4">
        <f t="shared" si="44"/>
        <v>455.28180713293494</v>
      </c>
    </row>
    <row r="166" spans="1:19" x14ac:dyDescent="0.5">
      <c r="A166" s="3"/>
      <c r="C166">
        <f t="shared" si="36"/>
        <v>-44.160000000000309</v>
      </c>
      <c r="D166" s="23">
        <f t="shared" si="30"/>
        <v>1.9949589988077416</v>
      </c>
      <c r="E166" s="92">
        <f t="shared" si="37"/>
        <v>0</v>
      </c>
      <c r="F166" s="3">
        <f t="shared" si="38"/>
        <v>-17.747782691906654</v>
      </c>
      <c r="G166" s="4">
        <f t="shared" si="31"/>
        <v>76.389265719480676</v>
      </c>
      <c r="I166" s="25">
        <f t="shared" si="32"/>
        <v>-17.043728032149374</v>
      </c>
      <c r="J166">
        <f t="shared" si="33"/>
        <v>0.70405465975727921</v>
      </c>
      <c r="K166" s="4">
        <f t="shared" si="34"/>
        <v>87.372820089147424</v>
      </c>
      <c r="M166" s="3">
        <f t="shared" si="39"/>
        <v>182.16000000000031</v>
      </c>
      <c r="N166">
        <f t="shared" si="40"/>
        <v>-44.160000000000309</v>
      </c>
      <c r="O166">
        <f t="shared" si="41"/>
        <v>-17.747676269522117</v>
      </c>
      <c r="P166">
        <f t="shared" si="35"/>
        <v>76.396858216121188</v>
      </c>
      <c r="Q166">
        <f t="shared" si="42"/>
        <v>0.10642238453684172</v>
      </c>
      <c r="R166">
        <f t="shared" si="43"/>
        <v>7.592496640512536</v>
      </c>
      <c r="S166" s="4">
        <f t="shared" si="44"/>
        <v>456.063028795153</v>
      </c>
    </row>
    <row r="167" spans="1:19" x14ac:dyDescent="0.5">
      <c r="A167" s="3"/>
      <c r="C167">
        <f t="shared" si="36"/>
        <v>-43.470000000000312</v>
      </c>
      <c r="D167" s="23">
        <f t="shared" si="30"/>
        <v>1.9320174800192287</v>
      </c>
      <c r="E167" s="92">
        <f t="shared" si="37"/>
        <v>0</v>
      </c>
      <c r="F167" s="3">
        <f t="shared" si="38"/>
        <v>-17.800491285355619</v>
      </c>
      <c r="G167" s="4">
        <f t="shared" si="31"/>
        <v>74.876203264044278</v>
      </c>
      <c r="I167" s="25">
        <f t="shared" si="32"/>
        <v>-17.104015278164297</v>
      </c>
      <c r="J167">
        <f t="shared" si="33"/>
        <v>0.69647600719132186</v>
      </c>
      <c r="K167" s="4">
        <f t="shared" si="34"/>
        <v>85.996925969778275</v>
      </c>
      <c r="M167" s="3">
        <f t="shared" si="39"/>
        <v>181.47000000000031</v>
      </c>
      <c r="N167">
        <f t="shared" si="40"/>
        <v>-43.470000000000312</v>
      </c>
      <c r="O167">
        <f t="shared" si="41"/>
        <v>-17.800390101793795</v>
      </c>
      <c r="P167">
        <f t="shared" si="35"/>
        <v>74.883909442740304</v>
      </c>
      <c r="Q167">
        <f t="shared" si="42"/>
        <v>0.10118356182431398</v>
      </c>
      <c r="R167">
        <f t="shared" si="43"/>
        <v>7.706178696025745</v>
      </c>
      <c r="S167" s="4">
        <f t="shared" si="44"/>
        <v>456.84466304597851</v>
      </c>
    </row>
    <row r="168" spans="1:19" x14ac:dyDescent="0.5">
      <c r="A168" s="3"/>
      <c r="C168">
        <f t="shared" si="36"/>
        <v>-42.780000000000314</v>
      </c>
      <c r="D168" s="23">
        <f t="shared" si="30"/>
        <v>1.8701199743309449</v>
      </c>
      <c r="E168" s="92">
        <f t="shared" si="37"/>
        <v>0</v>
      </c>
      <c r="F168" s="3">
        <f t="shared" si="38"/>
        <v>-17.852155865704361</v>
      </c>
      <c r="G168" s="4">
        <f t="shared" si="31"/>
        <v>73.365734160437853</v>
      </c>
      <c r="I168" s="25">
        <f t="shared" si="32"/>
        <v>-17.163353157229722</v>
      </c>
      <c r="J168">
        <f t="shared" si="33"/>
        <v>0.68880270847463976</v>
      </c>
      <c r="K168" s="4">
        <f t="shared" si="34"/>
        <v>84.620863132227029</v>
      </c>
      <c r="M168" s="3">
        <f t="shared" si="39"/>
        <v>180.78000000000031</v>
      </c>
      <c r="N168">
        <f t="shared" si="40"/>
        <v>-42.780000000000314</v>
      </c>
      <c r="O168">
        <f t="shared" si="41"/>
        <v>-17.852059999405867</v>
      </c>
      <c r="P168">
        <f t="shared" si="35"/>
        <v>73.373549235400958</v>
      </c>
      <c r="Q168">
        <f t="shared" si="42"/>
        <v>9.5866298494229341E-2</v>
      </c>
      <c r="R168">
        <f t="shared" si="43"/>
        <v>7.8150749631049621</v>
      </c>
      <c r="S168" s="4">
        <f t="shared" si="44"/>
        <v>457.62670423023832</v>
      </c>
    </row>
    <row r="169" spans="1:19" x14ac:dyDescent="0.5">
      <c r="A169" s="3"/>
      <c r="C169">
        <f t="shared" si="36"/>
        <v>-42.090000000000316</v>
      </c>
      <c r="D169" s="23">
        <f t="shared" si="30"/>
        <v>1.8092646923298736</v>
      </c>
      <c r="E169" s="92">
        <f t="shared" si="37"/>
        <v>0</v>
      </c>
      <c r="F169" s="3">
        <f t="shared" si="38"/>
        <v>-17.902778222365889</v>
      </c>
      <c r="G169" s="4">
        <f t="shared" si="31"/>
        <v>71.857850944233306</v>
      </c>
      <c r="I169" s="25">
        <f t="shared" si="32"/>
        <v>-17.221741552930325</v>
      </c>
      <c r="J169">
        <f t="shared" si="33"/>
        <v>0.68103666943556362</v>
      </c>
      <c r="K169" s="4">
        <f t="shared" si="34"/>
        <v>83.245053371140145</v>
      </c>
      <c r="M169" s="3">
        <f t="shared" si="39"/>
        <v>180.09000000000032</v>
      </c>
      <c r="N169">
        <f t="shared" si="40"/>
        <v>-42.090000000000316</v>
      </c>
      <c r="O169">
        <f t="shared" si="41"/>
        <v>-17.902687748469148</v>
      </c>
      <c r="P169">
        <f t="shared" si="35"/>
        <v>71.865770092222178</v>
      </c>
      <c r="Q169">
        <f t="shared" si="42"/>
        <v>9.047389674066153E-2</v>
      </c>
      <c r="R169">
        <f t="shared" si="43"/>
        <v>7.9191479888720551</v>
      </c>
      <c r="S169" s="4">
        <f t="shared" si="44"/>
        <v>458.40915607700293</v>
      </c>
    </row>
    <row r="170" spans="1:19" x14ac:dyDescent="0.5">
      <c r="A170" s="3"/>
      <c r="C170">
        <f t="shared" si="36"/>
        <v>-41.400000000000318</v>
      </c>
      <c r="D170" s="23">
        <f t="shared" si="30"/>
        <v>1.749449849753467</v>
      </c>
      <c r="E170" s="92">
        <f t="shared" si="37"/>
        <v>0</v>
      </c>
      <c r="F170" s="3">
        <f t="shared" si="38"/>
        <v>-17.952360139602749</v>
      </c>
      <c r="G170" s="4">
        <f t="shared" si="31"/>
        <v>70.352546181082062</v>
      </c>
      <c r="I170" s="25">
        <f t="shared" si="32"/>
        <v>-17.279180639889091</v>
      </c>
      <c r="J170">
        <f t="shared" si="33"/>
        <v>0.6731794997136582</v>
      </c>
      <c r="K170" s="4">
        <f t="shared" si="34"/>
        <v>81.868990532953219</v>
      </c>
      <c r="M170" s="3">
        <f t="shared" si="39"/>
        <v>179.40000000000032</v>
      </c>
      <c r="N170">
        <f t="shared" si="40"/>
        <v>-41.400000000000318</v>
      </c>
      <c r="O170">
        <f t="shared" si="41"/>
        <v>-17.952275129918149</v>
      </c>
      <c r="P170">
        <f t="shared" si="35"/>
        <v>70.360564555088246</v>
      </c>
      <c r="Q170">
        <f t="shared" si="42"/>
        <v>8.5009684600123592E-2</v>
      </c>
      <c r="R170">
        <f t="shared" si="43"/>
        <v>8.0183740061841036</v>
      </c>
      <c r="S170" s="4">
        <f t="shared" si="44"/>
        <v>459.19201140574711</v>
      </c>
    </row>
    <row r="171" spans="1:19" x14ac:dyDescent="0.5">
      <c r="A171" s="3"/>
      <c r="C171">
        <f t="shared" si="36"/>
        <v>-40.710000000000321</v>
      </c>
      <c r="D171" s="23">
        <f t="shared" si="30"/>
        <v>1.6906736674688909</v>
      </c>
      <c r="E171" s="92">
        <f t="shared" si="37"/>
        <v>0</v>
      </c>
      <c r="F171" s="3">
        <f t="shared" si="38"/>
        <v>-18.000903396547784</v>
      </c>
      <c r="G171" s="4">
        <f t="shared" si="31"/>
        <v>68.849812466519438</v>
      </c>
      <c r="I171" s="25">
        <f t="shared" si="32"/>
        <v>-17.335670243483037</v>
      </c>
      <c r="J171">
        <f t="shared" si="33"/>
        <v>0.66523315306474728</v>
      </c>
      <c r="K171" s="4">
        <f t="shared" si="34"/>
        <v>80.493096412312866</v>
      </c>
      <c r="M171" s="3">
        <f t="shared" si="39"/>
        <v>178.71000000000032</v>
      </c>
      <c r="N171">
        <f t="shared" si="40"/>
        <v>-40.710000000000321</v>
      </c>
      <c r="O171">
        <f t="shared" si="41"/>
        <v>-18.000823919541276</v>
      </c>
      <c r="P171">
        <f t="shared" si="35"/>
        <v>68.857925173606702</v>
      </c>
      <c r="Q171">
        <f t="shared" si="42"/>
        <v>7.9477006508454906E-2</v>
      </c>
      <c r="R171">
        <f t="shared" si="43"/>
        <v>8.1127070872639706</v>
      </c>
      <c r="S171" s="4">
        <f t="shared" si="44"/>
        <v>459.97528193656831</v>
      </c>
    </row>
    <row r="172" spans="1:19" x14ac:dyDescent="0.5">
      <c r="A172" s="3"/>
      <c r="C172">
        <f t="shared" si="36"/>
        <v>-40.020000000000323</v>
      </c>
      <c r="D172" s="23">
        <f t="shared" si="30"/>
        <v>1.6329343714523794</v>
      </c>
      <c r="E172" s="92">
        <f t="shared" si="37"/>
        <v>0</v>
      </c>
      <c r="F172" s="3">
        <f t="shared" si="38"/>
        <v>-18.048409767224747</v>
      </c>
      <c r="G172" s="4">
        <f t="shared" si="31"/>
        <v>67.349642425908073</v>
      </c>
      <c r="I172" s="25">
        <f t="shared" si="32"/>
        <v>-17.391210480127484</v>
      </c>
      <c r="J172">
        <f t="shared" si="33"/>
        <v>0.65719928709726361</v>
      </c>
      <c r="K172" s="4">
        <f t="shared" si="34"/>
        <v>79.117117932439456</v>
      </c>
      <c r="M172" s="3">
        <f t="shared" si="39"/>
        <v>178.02000000000032</v>
      </c>
      <c r="N172">
        <f t="shared" si="40"/>
        <v>-40.020000000000323</v>
      </c>
      <c r="O172">
        <f t="shared" si="41"/>
        <v>-18.048335887986156</v>
      </c>
      <c r="P172">
        <f t="shared" si="35"/>
        <v>67.357844566894556</v>
      </c>
      <c r="Q172">
        <f t="shared" si="42"/>
        <v>7.3879238591700869E-2</v>
      </c>
      <c r="R172">
        <f t="shared" si="43"/>
        <v>8.2021409864836414</v>
      </c>
      <c r="S172" s="4">
        <f t="shared" si="44"/>
        <v>460.75895583995077</v>
      </c>
    </row>
    <row r="173" spans="1:19" x14ac:dyDescent="0.5">
      <c r="A173" s="3"/>
      <c r="C173">
        <f t="shared" si="36"/>
        <v>-39.330000000000325</v>
      </c>
      <c r="D173" s="23">
        <f t="shared" si="30"/>
        <v>1.5762301927686957</v>
      </c>
      <c r="E173" s="92">
        <f t="shared" si="37"/>
        <v>0</v>
      </c>
      <c r="F173" s="3">
        <f t="shared" si="38"/>
        <v>-18.094881020568888</v>
      </c>
      <c r="G173" s="4">
        <f t="shared" si="31"/>
        <v>65.852028714170103</v>
      </c>
      <c r="I173" s="25">
        <f t="shared" si="32"/>
        <v>-17.445801291614771</v>
      </c>
      <c r="J173">
        <f t="shared" si="33"/>
        <v>0.64907972895411703</v>
      </c>
      <c r="K173" s="4">
        <f t="shared" si="34"/>
        <v>77.741139452266424</v>
      </c>
      <c r="M173" s="3">
        <f t="shared" si="39"/>
        <v>177.33000000000033</v>
      </c>
      <c r="N173">
        <f t="shared" si="40"/>
        <v>-39.330000000000325</v>
      </c>
      <c r="O173">
        <f t="shared" si="41"/>
        <v>-18.094812800807603</v>
      </c>
      <c r="P173">
        <f t="shared" si="35"/>
        <v>65.860315346345502</v>
      </c>
      <c r="Q173">
        <f t="shared" si="42"/>
        <v>6.8219761285348568E-2</v>
      </c>
      <c r="R173">
        <f t="shared" si="43"/>
        <v>8.2866321753982675</v>
      </c>
      <c r="S173" s="4">
        <f t="shared" si="44"/>
        <v>461.54304740564413</v>
      </c>
    </row>
    <row r="174" spans="1:19" x14ac:dyDescent="0.5">
      <c r="A174" s="3"/>
      <c r="C174">
        <f t="shared" si="36"/>
        <v>-38.640000000000327</v>
      </c>
      <c r="D174" s="23">
        <f t="shared" si="30"/>
        <v>1.5205593675506937</v>
      </c>
      <c r="E174" s="92">
        <f t="shared" si="37"/>
        <v>0</v>
      </c>
      <c r="F174" s="3">
        <f t="shared" si="38"/>
        <v>-18.140318920447346</v>
      </c>
      <c r="G174" s="4">
        <f t="shared" si="31"/>
        <v>64.356964015720266</v>
      </c>
      <c r="I174" s="25">
        <f t="shared" si="32"/>
        <v>-17.499442677944899</v>
      </c>
      <c r="J174">
        <f t="shared" si="33"/>
        <v>0.64087624250244701</v>
      </c>
      <c r="K174" s="4">
        <f t="shared" si="34"/>
        <v>76.365245330727419</v>
      </c>
      <c r="M174" s="3">
        <f t="shared" si="39"/>
        <v>176.64000000000033</v>
      </c>
      <c r="N174">
        <f t="shared" si="40"/>
        <v>-38.640000000000327</v>
      </c>
      <c r="O174">
        <f t="shared" si="41"/>
        <v>-18.140256418462286</v>
      </c>
      <c r="P174">
        <f t="shared" si="35"/>
        <v>64.36533020058603</v>
      </c>
      <c r="Q174">
        <f t="shared" si="42"/>
        <v>6.2501985059526532E-2</v>
      </c>
      <c r="R174">
        <f t="shared" si="43"/>
        <v>8.3661848657641258</v>
      </c>
      <c r="S174" s="4">
        <f t="shared" si="44"/>
        <v>462.32754644841646</v>
      </c>
    </row>
    <row r="175" spans="1:19" x14ac:dyDescent="0.5">
      <c r="A175" s="3"/>
      <c r="C175">
        <f t="shared" si="36"/>
        <v>-37.95000000000033</v>
      </c>
      <c r="D175" s="23">
        <f t="shared" si="30"/>
        <v>1.4659201369789954</v>
      </c>
      <c r="E175" s="92">
        <f t="shared" si="37"/>
        <v>0</v>
      </c>
      <c r="F175" s="3">
        <f t="shared" si="38"/>
        <v>-18.1847252256795</v>
      </c>
      <c r="G175" s="4">
        <f t="shared" si="31"/>
        <v>62.864441044270237</v>
      </c>
      <c r="I175" s="25">
        <f t="shared" si="32"/>
        <v>-17.552134697325528</v>
      </c>
      <c r="J175">
        <f t="shared" si="33"/>
        <v>0.63259052835397256</v>
      </c>
      <c r="K175" s="4">
        <f t="shared" si="34"/>
        <v>74.989266849970875</v>
      </c>
      <c r="M175" s="3">
        <f t="shared" si="39"/>
        <v>175.95000000000033</v>
      </c>
      <c r="N175">
        <f t="shared" si="40"/>
        <v>-37.95000000000033</v>
      </c>
      <c r="O175">
        <f t="shared" si="41"/>
        <v>-18.184668496362022</v>
      </c>
      <c r="P175">
        <f t="shared" si="35"/>
        <v>62.872881815668123</v>
      </c>
      <c r="Q175">
        <f t="shared" si="42"/>
        <v>5.6729317478243502E-2</v>
      </c>
      <c r="R175">
        <f t="shared" si="43"/>
        <v>8.4407713978862375</v>
      </c>
      <c r="S175" s="4">
        <f t="shared" si="44"/>
        <v>463.11244829763393</v>
      </c>
    </row>
    <row r="176" spans="1:19" x14ac:dyDescent="0.5">
      <c r="A176" s="3"/>
      <c r="C176">
        <f t="shared" si="36"/>
        <v>-37.260000000000332</v>
      </c>
      <c r="D176" s="23">
        <f t="shared" si="30"/>
        <v>1.4123107472617606</v>
      </c>
      <c r="E176" s="92">
        <f t="shared" si="37"/>
        <v>0</v>
      </c>
      <c r="F176" s="3">
        <f t="shared" si="38"/>
        <v>-18.228101690057187</v>
      </c>
      <c r="G176" s="4">
        <f t="shared" si="31"/>
        <v>61.374452542710202</v>
      </c>
      <c r="I176" s="25">
        <f t="shared" si="32"/>
        <v>-17.603877291548997</v>
      </c>
      <c r="J176">
        <f t="shared" si="33"/>
        <v>0.62422439850818989</v>
      </c>
      <c r="K176" s="4">
        <f t="shared" si="34"/>
        <v>73.61328836893037</v>
      </c>
      <c r="M176" s="3">
        <f t="shared" si="39"/>
        <v>175.26000000000033</v>
      </c>
      <c r="N176">
        <f t="shared" si="40"/>
        <v>-37.260000000000332</v>
      </c>
      <c r="O176">
        <f t="shared" si="41"/>
        <v>-18.228050784871996</v>
      </c>
      <c r="P176">
        <f t="shared" si="35"/>
        <v>61.38296289309028</v>
      </c>
      <c r="Q176">
        <f t="shared" si="42"/>
        <v>5.0905185190686097E-2</v>
      </c>
      <c r="R176">
        <f t="shared" si="43"/>
        <v>8.51035038007808</v>
      </c>
      <c r="S176" s="4">
        <f t="shared" si="44"/>
        <v>463.89776995064472</v>
      </c>
    </row>
    <row r="177" spans="1:19" x14ac:dyDescent="0.5">
      <c r="A177" s="3"/>
      <c r="C177">
        <f t="shared" si="36"/>
        <v>-36.570000000000334</v>
      </c>
      <c r="D177" s="23">
        <f t="shared" si="30"/>
        <v>1.359729449614574</v>
      </c>
      <c r="E177" s="92">
        <f t="shared" si="37"/>
        <v>0</v>
      </c>
      <c r="F177" s="3">
        <f t="shared" si="38"/>
        <v>-18.27045006236483</v>
      </c>
      <c r="G177" s="4">
        <f t="shared" si="31"/>
        <v>59.886991282908077</v>
      </c>
      <c r="I177" s="25">
        <f t="shared" si="32"/>
        <v>-17.654670460615307</v>
      </c>
      <c r="J177">
        <f t="shared" si="33"/>
        <v>0.61577960174952295</v>
      </c>
      <c r="K177" s="4">
        <f t="shared" si="34"/>
        <v>72.237394246539537</v>
      </c>
      <c r="M177" s="3">
        <f t="shared" si="39"/>
        <v>174.57000000000033</v>
      </c>
      <c r="N177">
        <f t="shared" si="40"/>
        <v>-36.570000000000334</v>
      </c>
      <c r="O177">
        <f t="shared" si="41"/>
        <v>-18.270405029321424</v>
      </c>
      <c r="P177">
        <f t="shared" si="35"/>
        <v>59.895566219307156</v>
      </c>
      <c r="Q177">
        <f t="shared" si="42"/>
        <v>4.5033043406306206E-2</v>
      </c>
      <c r="R177">
        <f t="shared" si="43"/>
        <v>8.574936399078581</v>
      </c>
      <c r="S177" s="4">
        <f t="shared" si="44"/>
        <v>464.68350049009905</v>
      </c>
    </row>
    <row r="178" spans="1:19" x14ac:dyDescent="0.5">
      <c r="A178" s="3"/>
      <c r="C178">
        <f t="shared" si="36"/>
        <v>-35.880000000000337</v>
      </c>
      <c r="D178" s="23">
        <f t="shared" si="30"/>
        <v>1.3081745002404239</v>
      </c>
      <c r="E178" s="92">
        <f t="shared" si="37"/>
        <v>0</v>
      </c>
      <c r="F178" s="3">
        <f t="shared" si="38"/>
        <v>-18.311772086399436</v>
      </c>
      <c r="G178" s="4">
        <f t="shared" si="31"/>
        <v>58.402050065611633</v>
      </c>
      <c r="I178" s="25">
        <f t="shared" si="32"/>
        <v>-17.704514262732118</v>
      </c>
      <c r="J178">
        <f t="shared" si="33"/>
        <v>0.60725782366731806</v>
      </c>
      <c r="K178" s="4">
        <f t="shared" si="34"/>
        <v>70.861500123875217</v>
      </c>
      <c r="M178" s="3">
        <f t="shared" si="39"/>
        <v>173.88000000000034</v>
      </c>
      <c r="N178">
        <f t="shared" si="40"/>
        <v>-35.880000000000337</v>
      </c>
      <c r="O178">
        <f t="shared" si="41"/>
        <v>-18.311732970062167</v>
      </c>
      <c r="P178">
        <f t="shared" si="35"/>
        <v>58.410684575624394</v>
      </c>
      <c r="Q178">
        <f t="shared" si="42"/>
        <v>3.911633726971786E-2</v>
      </c>
      <c r="R178">
        <f t="shared" si="43"/>
        <v>8.6345100127616092</v>
      </c>
      <c r="S178" s="4">
        <f t="shared" si="44"/>
        <v>465.46964183568878</v>
      </c>
    </row>
    <row r="179" spans="1:19" x14ac:dyDescent="0.5">
      <c r="A179" s="3"/>
      <c r="C179">
        <f t="shared" si="36"/>
        <v>-35.190000000000339</v>
      </c>
      <c r="D179" s="23">
        <f t="shared" si="30"/>
        <v>1.2576441603097896</v>
      </c>
      <c r="E179" s="92">
        <f t="shared" si="37"/>
        <v>0</v>
      </c>
      <c r="F179" s="3">
        <f t="shared" si="38"/>
        <v>-18.352069500990524</v>
      </c>
      <c r="G179" s="4">
        <f t="shared" si="31"/>
        <v>56.919621720288916</v>
      </c>
      <c r="I179" s="25">
        <f t="shared" si="32"/>
        <v>-17.753408697899431</v>
      </c>
      <c r="J179">
        <f t="shared" si="33"/>
        <v>0.59866080309109293</v>
      </c>
      <c r="K179" s="4">
        <f t="shared" si="34"/>
        <v>69.485437283085673</v>
      </c>
      <c r="M179" s="3">
        <f t="shared" si="39"/>
        <v>173.19000000000034</v>
      </c>
      <c r="N179">
        <f t="shared" si="40"/>
        <v>-35.190000000000339</v>
      </c>
      <c r="O179">
        <f t="shared" si="41"/>
        <v>-18.352036342465183</v>
      </c>
      <c r="P179">
        <f t="shared" si="35"/>
        <v>56.928310779389648</v>
      </c>
      <c r="Q179">
        <f t="shared" si="42"/>
        <v>3.3158525340581946E-2</v>
      </c>
      <c r="R179">
        <f t="shared" si="43"/>
        <v>8.6890591007318108</v>
      </c>
      <c r="S179" s="4">
        <f t="shared" si="44"/>
        <v>466.25619517359917</v>
      </c>
    </row>
    <row r="180" spans="1:19" x14ac:dyDescent="0.5">
      <c r="A180" s="3"/>
      <c r="C180">
        <f t="shared" si="36"/>
        <v>-34.500000000000341</v>
      </c>
      <c r="D180" s="23">
        <f t="shared" si="30"/>
        <v>1.2081366959408324</v>
      </c>
      <c r="E180" s="92">
        <f t="shared" si="37"/>
        <v>0</v>
      </c>
      <c r="F180" s="3">
        <f t="shared" si="38"/>
        <v>-18.391344040019938</v>
      </c>
      <c r="G180" s="4">
        <f t="shared" si="31"/>
        <v>55.439699104948055</v>
      </c>
      <c r="I180" s="25">
        <f t="shared" si="32"/>
        <v>-17.801353649701923</v>
      </c>
      <c r="J180">
        <f t="shared" si="33"/>
        <v>0.58999039031801459</v>
      </c>
      <c r="K180" s="4">
        <f t="shared" si="34"/>
        <v>68.109543159889938</v>
      </c>
      <c r="M180" s="3">
        <f t="shared" si="39"/>
        <v>172.50000000000034</v>
      </c>
      <c r="N180">
        <f t="shared" si="40"/>
        <v>-34.500000000000341</v>
      </c>
      <c r="O180">
        <f t="shared" si="41"/>
        <v>-18.391316876945396</v>
      </c>
      <c r="P180">
        <f t="shared" si="35"/>
        <v>55.448437681418064</v>
      </c>
      <c r="Q180">
        <f t="shared" si="42"/>
        <v>2.7163074541647347E-2</v>
      </c>
      <c r="R180">
        <f t="shared" si="43"/>
        <v>8.738576470008752</v>
      </c>
      <c r="S180" s="4">
        <f t="shared" si="44"/>
        <v>467.04315768809528</v>
      </c>
    </row>
    <row r="181" spans="1:19" x14ac:dyDescent="0.5">
      <c r="A181" s="3"/>
      <c r="C181">
        <f t="shared" si="36"/>
        <v>-33.810000000000343</v>
      </c>
      <c r="D181" s="23">
        <f t="shared" si="30"/>
        <v>1.1596503781796812</v>
      </c>
      <c r="E181" s="92">
        <f t="shared" si="37"/>
        <v>0</v>
      </c>
      <c r="F181" s="3">
        <f t="shared" si="38"/>
        <v>-18.429597432441543</v>
      </c>
      <c r="G181" s="4">
        <f t="shared" si="31"/>
        <v>53.962275106039385</v>
      </c>
      <c r="I181" s="25">
        <f t="shared" si="32"/>
        <v>-17.848349234554917</v>
      </c>
      <c r="J181">
        <f t="shared" si="33"/>
        <v>0.58124819788662663</v>
      </c>
      <c r="K181" s="4">
        <f t="shared" si="34"/>
        <v>66.733564677507857</v>
      </c>
      <c r="M181" s="3">
        <f t="shared" si="39"/>
        <v>171.81000000000034</v>
      </c>
      <c r="N181">
        <f t="shared" si="40"/>
        <v>-33.810000000000343</v>
      </c>
      <c r="O181">
        <f t="shared" si="41"/>
        <v>-18.429576298984784</v>
      </c>
      <c r="P181">
        <f t="shared" si="35"/>
        <v>53.971058153120168</v>
      </c>
      <c r="Q181">
        <f t="shared" si="42"/>
        <v>2.1133456758803959E-2</v>
      </c>
      <c r="R181">
        <f t="shared" si="43"/>
        <v>8.7830470807830352</v>
      </c>
      <c r="S181" s="4">
        <f t="shared" si="44"/>
        <v>467.83053800883567</v>
      </c>
    </row>
    <row r="182" spans="1:19" x14ac:dyDescent="0.5">
      <c r="A182" s="3"/>
      <c r="C182">
        <f t="shared" si="36"/>
        <v>-33.120000000000346</v>
      </c>
      <c r="D182" s="23">
        <f t="shared" si="30"/>
        <v>1.1121834829808295</v>
      </c>
      <c r="E182" s="92">
        <f t="shared" si="37"/>
        <v>0</v>
      </c>
      <c r="F182" s="3">
        <f t="shared" si="38"/>
        <v>-18.466831402300851</v>
      </c>
      <c r="G182" s="4">
        <f t="shared" si="31"/>
        <v>52.487342638270142</v>
      </c>
      <c r="I182" s="25">
        <f t="shared" si="32"/>
        <v>-17.894395394250751</v>
      </c>
      <c r="J182">
        <f t="shared" si="33"/>
        <v>0.57243600805010075</v>
      </c>
      <c r="K182" s="4">
        <f t="shared" si="34"/>
        <v>65.357586194873036</v>
      </c>
      <c r="M182" s="3">
        <f t="shared" si="39"/>
        <v>171.12000000000035</v>
      </c>
      <c r="N182">
        <f t="shared" si="40"/>
        <v>-33.120000000000346</v>
      </c>
      <c r="O182">
        <f t="shared" si="41"/>
        <v>-18.466816329146596</v>
      </c>
      <c r="P182">
        <f t="shared" si="35"/>
        <v>52.496165122543857</v>
      </c>
      <c r="Q182">
        <f t="shared" si="42"/>
        <v>1.5073154255418331E-2</v>
      </c>
      <c r="R182">
        <f t="shared" si="43"/>
        <v>8.8224842737147924</v>
      </c>
      <c r="S182" s="4">
        <f t="shared" si="44"/>
        <v>468.61832772655771</v>
      </c>
    </row>
    <row r="183" spans="1:19" x14ac:dyDescent="0.5">
      <c r="A183" s="3"/>
      <c r="C183">
        <f t="shared" si="36"/>
        <v>-32.430000000000348</v>
      </c>
      <c r="D183" s="23">
        <f t="shared" si="30"/>
        <v>1.0657342911876204</v>
      </c>
      <c r="E183" s="92">
        <f t="shared" si="37"/>
        <v>0</v>
      </c>
      <c r="F183" s="3">
        <f t="shared" si="38"/>
        <v>-18.503047668754515</v>
      </c>
      <c r="G183" s="4">
        <f t="shared" si="31"/>
        <v>51.014894644491122</v>
      </c>
      <c r="I183" s="25">
        <f t="shared" si="32"/>
        <v>-17.939492128789425</v>
      </c>
      <c r="J183">
        <f t="shared" si="33"/>
        <v>0.56355553996509045</v>
      </c>
      <c r="K183" s="4">
        <f t="shared" si="34"/>
        <v>63.981692070919287</v>
      </c>
      <c r="M183" s="3">
        <f t="shared" si="39"/>
        <v>170.43000000000035</v>
      </c>
      <c r="N183">
        <f t="shared" si="40"/>
        <v>-32.430000000000348</v>
      </c>
      <c r="O183">
        <f t="shared" si="41"/>
        <v>-18.503038683114426</v>
      </c>
      <c r="P183">
        <f t="shared" si="35"/>
        <v>51.023751520311428</v>
      </c>
      <c r="Q183">
        <f t="shared" si="42"/>
        <v>8.9856400897758704E-3</v>
      </c>
      <c r="R183">
        <f t="shared" si="43"/>
        <v>8.8568758203066977</v>
      </c>
      <c r="S183" s="4">
        <f t="shared" si="44"/>
        <v>469.40652905629833</v>
      </c>
    </row>
    <row r="184" spans="1:19" x14ac:dyDescent="0.5">
      <c r="A184" s="3"/>
      <c r="C184">
        <f t="shared" si="36"/>
        <v>-31.740000000000347</v>
      </c>
      <c r="D184" s="23">
        <f t="shared" si="30"/>
        <v>1.020301088512843</v>
      </c>
      <c r="E184" s="92">
        <f t="shared" si="37"/>
        <v>0</v>
      </c>
      <c r="F184" s="3">
        <f t="shared" si="38"/>
        <v>-18.538247946089751</v>
      </c>
      <c r="G184" s="4">
        <f t="shared" si="31"/>
        <v>49.544924095511391</v>
      </c>
      <c r="I184" s="25">
        <f t="shared" si="32"/>
        <v>-17.983639496378601</v>
      </c>
      <c r="J184">
        <f t="shared" si="33"/>
        <v>0.55460844971115009</v>
      </c>
      <c r="K184" s="4">
        <f t="shared" si="34"/>
        <v>62.605713587794746</v>
      </c>
      <c r="M184" s="3">
        <f t="shared" si="39"/>
        <v>169.74000000000035</v>
      </c>
      <c r="N184">
        <f t="shared" si="40"/>
        <v>-31.740000000000347</v>
      </c>
      <c r="O184">
        <f t="shared" si="41"/>
        <v>-18.538245071693993</v>
      </c>
      <c r="P184">
        <f t="shared" si="35"/>
        <v>49.553810313087091</v>
      </c>
      <c r="Q184">
        <f t="shared" si="42"/>
        <v>2.8743957578569734E-3</v>
      </c>
      <c r="R184">
        <f t="shared" si="43"/>
        <v>8.8862175757000728</v>
      </c>
      <c r="S184" s="4">
        <f t="shared" si="44"/>
        <v>470.19514841800333</v>
      </c>
    </row>
    <row r="185" spans="1:19" x14ac:dyDescent="0.5">
      <c r="A185" s="3"/>
      <c r="C185">
        <f t="shared" si="36"/>
        <v>-31.050000000000345</v>
      </c>
      <c r="D185" s="23">
        <f t="shared" si="30"/>
        <v>0.9758821655194182</v>
      </c>
      <c r="E185" s="92">
        <f t="shared" si="37"/>
        <v>0</v>
      </c>
      <c r="F185" s="3">
        <f t="shared" si="38"/>
        <v>-18.572433943743626</v>
      </c>
      <c r="G185" s="4">
        <f t="shared" si="31"/>
        <v>48.077423990041616</v>
      </c>
      <c r="I185" s="25">
        <f t="shared" si="32"/>
        <v>-18.026837438810617</v>
      </c>
      <c r="J185">
        <f t="shared" si="33"/>
        <v>0.54559650493300893</v>
      </c>
      <c r="K185" s="4">
        <f t="shared" si="34"/>
        <v>61.229735104433153</v>
      </c>
      <c r="M185" s="3">
        <f t="shared" si="39"/>
        <v>169.05000000000035</v>
      </c>
      <c r="N185">
        <f t="shared" si="40"/>
        <v>-31.050000000000345</v>
      </c>
      <c r="O185">
        <f t="shared" si="41"/>
        <v>-18.57243720083801</v>
      </c>
      <c r="P185">
        <f t="shared" si="35"/>
        <v>48.086334516449156</v>
      </c>
      <c r="Q185">
        <f t="shared" si="42"/>
        <v>-3.2570943844234534E-3</v>
      </c>
      <c r="R185">
        <f t="shared" si="43"/>
        <v>8.9105264075399759</v>
      </c>
      <c r="S185" s="4">
        <f t="shared" si="44"/>
        <v>470.98417912591589</v>
      </c>
    </row>
    <row r="186" spans="1:19" x14ac:dyDescent="0.5">
      <c r="A186" s="3"/>
      <c r="C186">
        <f t="shared" si="36"/>
        <v>-30.360000000000344</v>
      </c>
      <c r="D186" s="23">
        <f t="shared" si="30"/>
        <v>0.93247581760118803</v>
      </c>
      <c r="E186" s="92">
        <f t="shared" si="37"/>
        <v>0</v>
      </c>
      <c r="F186" s="3">
        <f t="shared" si="38"/>
        <v>-18.605607366322314</v>
      </c>
      <c r="G186" s="4">
        <f t="shared" si="31"/>
        <v>46.612387354416029</v>
      </c>
      <c r="I186" s="25">
        <f t="shared" si="32"/>
        <v>-18.069085956085473</v>
      </c>
      <c r="J186">
        <f t="shared" si="33"/>
        <v>0.53652141023684052</v>
      </c>
      <c r="K186" s="4">
        <f t="shared" si="34"/>
        <v>59.853840979768243</v>
      </c>
      <c r="M186" s="3">
        <f t="shared" si="39"/>
        <v>168.36000000000035</v>
      </c>
      <c r="N186">
        <f t="shared" si="40"/>
        <v>-30.360000000000344</v>
      </c>
      <c r="O186">
        <f t="shared" si="41"/>
        <v>-18.605616771679934</v>
      </c>
      <c r="P186">
        <f t="shared" si="35"/>
        <v>46.621317153699202</v>
      </c>
      <c r="Q186">
        <f t="shared" si="42"/>
        <v>-9.4053576198405153E-3</v>
      </c>
      <c r="R186">
        <f t="shared" si="43"/>
        <v>8.9297992831731676</v>
      </c>
      <c r="S186" s="4">
        <f t="shared" si="44"/>
        <v>471.77362192792697</v>
      </c>
    </row>
    <row r="187" spans="1:19" x14ac:dyDescent="0.5">
      <c r="A187" s="3"/>
      <c r="C187">
        <f t="shared" si="36"/>
        <v>-29.670000000000343</v>
      </c>
      <c r="D187" s="23">
        <f t="shared" si="30"/>
        <v>0.89008034496380317</v>
      </c>
      <c r="E187" s="92">
        <f t="shared" si="37"/>
        <v>0</v>
      </c>
      <c r="F187" s="3">
        <f t="shared" si="38"/>
        <v>-18.637769913620154</v>
      </c>
      <c r="G187" s="4">
        <f t="shared" si="31"/>
        <v>45.149807242587265</v>
      </c>
      <c r="I187" s="25">
        <f t="shared" si="32"/>
        <v>-18.110385106410831</v>
      </c>
      <c r="J187">
        <f t="shared" si="33"/>
        <v>0.52738480720932301</v>
      </c>
      <c r="K187" s="4">
        <f t="shared" si="34"/>
        <v>58.477946854876727</v>
      </c>
      <c r="M187" s="3">
        <f t="shared" si="39"/>
        <v>167.67000000000036</v>
      </c>
      <c r="N187">
        <f t="shared" si="40"/>
        <v>-29.670000000000343</v>
      </c>
      <c r="O187">
        <f t="shared" si="41"/>
        <v>-18.637785480539293</v>
      </c>
      <c r="P187">
        <f t="shared" si="35"/>
        <v>45.158751279031854</v>
      </c>
      <c r="Q187">
        <f t="shared" si="42"/>
        <v>-1.556691913862096E-2</v>
      </c>
      <c r="R187">
        <f t="shared" si="43"/>
        <v>8.9440364445891873</v>
      </c>
      <c r="S187" s="4">
        <f t="shared" si="44"/>
        <v>472.56348096483305</v>
      </c>
    </row>
    <row r="188" spans="1:19" x14ac:dyDescent="0.5">
      <c r="A188" s="3"/>
      <c r="C188">
        <f t="shared" si="36"/>
        <v>-28.980000000000341</v>
      </c>
      <c r="D188" s="23">
        <f t="shared" si="30"/>
        <v>0.84869405260570441</v>
      </c>
      <c r="E188" s="92">
        <f t="shared" si="37"/>
        <v>0</v>
      </c>
      <c r="F188" s="3">
        <f t="shared" si="38"/>
        <v>-18.668923280638708</v>
      </c>
      <c r="G188" s="4">
        <f t="shared" si="31"/>
        <v>43.689676735904996</v>
      </c>
      <c r="I188" s="25">
        <f t="shared" si="32"/>
        <v>-18.15073488978669</v>
      </c>
      <c r="J188">
        <f t="shared" si="33"/>
        <v>0.51818839085201773</v>
      </c>
      <c r="K188" s="4">
        <f t="shared" si="34"/>
        <v>57.101884011906634</v>
      </c>
      <c r="M188" s="3">
        <f t="shared" si="39"/>
        <v>166.98000000000036</v>
      </c>
      <c r="N188">
        <f t="shared" si="40"/>
        <v>-28.980000000000341</v>
      </c>
      <c r="O188">
        <f t="shared" si="41"/>
        <v>-18.668945018943006</v>
      </c>
      <c r="P188">
        <f t="shared" si="35"/>
        <v>43.698629987832568</v>
      </c>
      <c r="Q188">
        <f t="shared" si="42"/>
        <v>-2.173830429796908E-2</v>
      </c>
      <c r="R188">
        <f t="shared" si="43"/>
        <v>8.9532519275721256</v>
      </c>
      <c r="S188" s="4">
        <f t="shared" si="44"/>
        <v>473.35375546669798</v>
      </c>
    </row>
    <row r="189" spans="1:19" x14ac:dyDescent="0.5">
      <c r="A189" s="3"/>
      <c r="C189">
        <f t="shared" si="36"/>
        <v>-28.29000000000034</v>
      </c>
      <c r="D189" s="23">
        <f t="shared" si="30"/>
        <v>0.80831525029920248</v>
      </c>
      <c r="E189" s="92">
        <f t="shared" si="37"/>
        <v>0</v>
      </c>
      <c r="F189" s="3">
        <f t="shared" si="38"/>
        <v>-18.699069157605663</v>
      </c>
      <c r="G189" s="4">
        <f t="shared" si="31"/>
        <v>42.231988943012922</v>
      </c>
      <c r="I189" s="25">
        <f t="shared" si="32"/>
        <v>-18.190135189797729</v>
      </c>
      <c r="J189">
        <f t="shared" si="33"/>
        <v>0.5089339678079341</v>
      </c>
      <c r="K189" s="4">
        <f t="shared" si="34"/>
        <v>55.725989886577487</v>
      </c>
      <c r="M189" s="3">
        <f t="shared" si="39"/>
        <v>166.29000000000036</v>
      </c>
      <c r="N189">
        <f t="shared" si="40"/>
        <v>-28.29000000000034</v>
      </c>
      <c r="O189">
        <f t="shared" si="41"/>
        <v>-18.699097073653803</v>
      </c>
      <c r="P189">
        <f t="shared" si="35"/>
        <v>42.240946401231035</v>
      </c>
      <c r="Q189">
        <f t="shared" si="42"/>
        <v>-2.7916048139786653E-2</v>
      </c>
      <c r="R189">
        <f t="shared" si="43"/>
        <v>8.9574582181128903</v>
      </c>
      <c r="S189" s="4">
        <f t="shared" si="44"/>
        <v>474.14444302496173</v>
      </c>
    </row>
    <row r="190" spans="1:19" x14ac:dyDescent="0.5">
      <c r="A190" s="3"/>
      <c r="C190">
        <f t="shared" si="36"/>
        <v>-27.600000000000339</v>
      </c>
      <c r="D190" s="23">
        <f t="shared" si="30"/>
        <v>0.76894225257165461</v>
      </c>
      <c r="E190" s="92">
        <f t="shared" si="37"/>
        <v>0</v>
      </c>
      <c r="F190" s="3">
        <f t="shared" si="38"/>
        <v>-18.728209229993666</v>
      </c>
      <c r="G190" s="4">
        <f t="shared" si="31"/>
        <v>40.776736999684033</v>
      </c>
      <c r="I190" s="25">
        <f t="shared" si="32"/>
        <v>-18.228586122859269</v>
      </c>
      <c r="J190">
        <f t="shared" si="33"/>
        <v>0.49962310713439706</v>
      </c>
      <c r="K190" s="4">
        <f t="shared" si="34"/>
        <v>54.350011402108734</v>
      </c>
      <c r="M190" s="3">
        <f t="shared" si="39"/>
        <v>165.60000000000036</v>
      </c>
      <c r="N190">
        <f t="shared" si="40"/>
        <v>-27.600000000000339</v>
      </c>
      <c r="O190">
        <f t="shared" si="41"/>
        <v>-18.728243326687988</v>
      </c>
      <c r="P190">
        <f t="shared" si="35"/>
        <v>40.785693660952319</v>
      </c>
      <c r="Q190">
        <f t="shared" si="42"/>
        <v>-3.4096694321306131E-2</v>
      </c>
      <c r="R190">
        <f t="shared" si="43"/>
        <v>8.9566612682858704</v>
      </c>
      <c r="S190" s="4">
        <f t="shared" si="44"/>
        <v>474.93554798078168</v>
      </c>
    </row>
    <row r="191" spans="1:19" x14ac:dyDescent="0.5">
      <c r="A191" s="3"/>
      <c r="C191">
        <f t="shared" si="36"/>
        <v>-26.910000000000338</v>
      </c>
      <c r="D191" s="23">
        <f t="shared" si="30"/>
        <v>0.73057337868673489</v>
      </c>
      <c r="E191" s="92">
        <f t="shared" si="37"/>
        <v>0</v>
      </c>
      <c r="F191" s="3">
        <f t="shared" si="38"/>
        <v>-18.756345178539043</v>
      </c>
      <c r="G191" s="4">
        <f t="shared" si="31"/>
        <v>39.323914068702173</v>
      </c>
      <c r="I191" s="25">
        <f t="shared" si="32"/>
        <v>-18.26608763076365</v>
      </c>
      <c r="J191">
        <f t="shared" si="33"/>
        <v>0.49025754777539277</v>
      </c>
      <c r="K191" s="4">
        <f t="shared" si="34"/>
        <v>52.974117276362804</v>
      </c>
      <c r="M191" s="3">
        <f t="shared" si="39"/>
        <v>164.91000000000037</v>
      </c>
      <c r="N191">
        <f t="shared" si="40"/>
        <v>-26.910000000000338</v>
      </c>
      <c r="O191">
        <f t="shared" si="41"/>
        <v>-18.756385455329649</v>
      </c>
      <c r="P191">
        <f t="shared" si="35"/>
        <v>39.332864949912306</v>
      </c>
      <c r="Q191">
        <f t="shared" si="42"/>
        <v>-4.0276790606696977E-2</v>
      </c>
      <c r="R191">
        <f t="shared" si="43"/>
        <v>8.9508812101328772</v>
      </c>
      <c r="S191" s="4">
        <f t="shared" si="44"/>
        <v>475.72706718285025</v>
      </c>
    </row>
    <row r="192" spans="1:19" x14ac:dyDescent="0.5">
      <c r="A192" s="3"/>
      <c r="C192">
        <f t="shared" si="36"/>
        <v>-26.220000000000336</v>
      </c>
      <c r="D192" s="23">
        <f t="shared" si="30"/>
        <v>0.6932069526257999</v>
      </c>
      <c r="E192" s="92">
        <f t="shared" si="37"/>
        <v>0</v>
      </c>
      <c r="F192" s="3">
        <f t="shared" si="38"/>
        <v>-18.783478679260433</v>
      </c>
      <c r="G192" s="4">
        <f t="shared" si="31"/>
        <v>37.873513339728149</v>
      </c>
      <c r="I192" s="25">
        <f t="shared" si="32"/>
        <v>-18.302639771718532</v>
      </c>
      <c r="J192">
        <f t="shared" si="33"/>
        <v>0.48083890754190151</v>
      </c>
      <c r="K192" s="4">
        <f t="shared" si="34"/>
        <v>51.598054432559046</v>
      </c>
      <c r="M192" s="3">
        <f t="shared" si="39"/>
        <v>164.22000000000037</v>
      </c>
      <c r="N192">
        <f t="shared" si="40"/>
        <v>-26.220000000000336</v>
      </c>
      <c r="O192">
        <f t="shared" si="41"/>
        <v>-18.783525132159085</v>
      </c>
      <c r="P192">
        <f t="shared" si="35"/>
        <v>37.88245346904781</v>
      </c>
      <c r="Q192">
        <f t="shared" si="42"/>
        <v>-4.6452898651239138E-2</v>
      </c>
      <c r="R192">
        <f t="shared" si="43"/>
        <v>8.9401293196615939</v>
      </c>
      <c r="S192" s="4">
        <f t="shared" si="44"/>
        <v>476.51900341701554</v>
      </c>
    </row>
    <row r="193" spans="1:19" x14ac:dyDescent="0.5">
      <c r="A193" s="3"/>
      <c r="C193">
        <f t="shared" si="36"/>
        <v>-25.530000000000335</v>
      </c>
      <c r="D193" s="23">
        <f t="shared" si="30"/>
        <v>0.65684130306934951</v>
      </c>
      <c r="E193" s="92">
        <f t="shared" si="37"/>
        <v>0</v>
      </c>
      <c r="F193" s="3">
        <f t="shared" si="38"/>
        <v>-18.809611403477341</v>
      </c>
      <c r="G193" s="4">
        <f t="shared" si="31"/>
        <v>36.42552802914016</v>
      </c>
      <c r="I193" s="25">
        <f t="shared" si="32"/>
        <v>-18.338242429308593</v>
      </c>
      <c r="J193">
        <f t="shared" si="33"/>
        <v>0.47136897416874746</v>
      </c>
      <c r="K193" s="4">
        <f t="shared" si="34"/>
        <v>50.222244665345805</v>
      </c>
      <c r="M193" s="3">
        <f t="shared" si="39"/>
        <v>163.53000000000037</v>
      </c>
      <c r="N193">
        <f t="shared" si="40"/>
        <v>-25.530000000000335</v>
      </c>
      <c r="O193">
        <f t="shared" si="41"/>
        <v>-18.809664025065231</v>
      </c>
      <c r="P193">
        <f t="shared" si="35"/>
        <v>36.434452455337635</v>
      </c>
      <c r="Q193">
        <f t="shared" si="42"/>
        <v>-5.2621587890655519E-2</v>
      </c>
      <c r="R193">
        <f t="shared" si="43"/>
        <v>8.9244261974741335</v>
      </c>
      <c r="S193" s="4">
        <f t="shared" si="44"/>
        <v>477.31135275469586</v>
      </c>
    </row>
    <row r="194" spans="1:19" x14ac:dyDescent="0.5">
      <c r="A194" s="3"/>
      <c r="C194">
        <f t="shared" si="36"/>
        <v>-24.840000000000334</v>
      </c>
      <c r="D194" s="23">
        <f t="shared" si="30"/>
        <v>0.62147476337857954</v>
      </c>
      <c r="E194" s="92">
        <f t="shared" si="37"/>
        <v>0</v>
      </c>
      <c r="F194" s="3">
        <f t="shared" si="38"/>
        <v>-18.834745017828563</v>
      </c>
      <c r="G194" s="4">
        <f t="shared" si="31"/>
        <v>34.97995137994625</v>
      </c>
      <c r="I194" s="25">
        <f t="shared" si="32"/>
        <v>-18.372895778156817</v>
      </c>
      <c r="J194">
        <f t="shared" si="33"/>
        <v>0.4618492396717464</v>
      </c>
      <c r="K194" s="4">
        <f t="shared" si="34"/>
        <v>48.84618182115647</v>
      </c>
      <c r="M194" s="3">
        <f t="shared" si="39"/>
        <v>162.84000000000037</v>
      </c>
      <c r="N194">
        <f t="shared" si="40"/>
        <v>-24.840000000000334</v>
      </c>
      <c r="O194">
        <f t="shared" si="41"/>
        <v>-18.834803797270538</v>
      </c>
      <c r="P194">
        <f t="shared" si="35"/>
        <v>34.988855161207042</v>
      </c>
      <c r="Q194">
        <f t="shared" si="42"/>
        <v>-5.8779441975076452E-2</v>
      </c>
      <c r="R194">
        <f t="shared" si="43"/>
        <v>8.903781260791277</v>
      </c>
      <c r="S194" s="4">
        <f t="shared" si="44"/>
        <v>478.10412405634736</v>
      </c>
    </row>
    <row r="195" spans="1:19" x14ac:dyDescent="0.5">
      <c r="A195" s="3"/>
      <c r="C195">
        <f t="shared" si="36"/>
        <v>-24.150000000000333</v>
      </c>
      <c r="D195" s="23">
        <f t="shared" si="30"/>
        <v>0.58710567157702942</v>
      </c>
      <c r="E195" s="92">
        <f t="shared" si="37"/>
        <v>0</v>
      </c>
      <c r="F195" s="3">
        <f t="shared" si="38"/>
        <v>-18.858881184290571</v>
      </c>
      <c r="G195" s="4">
        <f t="shared" si="31"/>
        <v>33.53677666157833</v>
      </c>
      <c r="I195" s="25">
        <f t="shared" si="32"/>
        <v>-18.40659964364022</v>
      </c>
      <c r="J195">
        <f t="shared" si="33"/>
        <v>0.45228154065035042</v>
      </c>
      <c r="K195" s="4">
        <f t="shared" si="34"/>
        <v>47.470287694639495</v>
      </c>
      <c r="M195" s="3">
        <f t="shared" si="39"/>
        <v>162.15000000000038</v>
      </c>
      <c r="N195">
        <f t="shared" si="40"/>
        <v>-24.150000000000333</v>
      </c>
      <c r="O195">
        <f t="shared" si="41"/>
        <v>-18.858946107341623</v>
      </c>
      <c r="P195">
        <f t="shared" si="35"/>
        <v>33.545654893144345</v>
      </c>
      <c r="Q195">
        <f t="shared" si="42"/>
        <v>-6.4923051052545588E-2</v>
      </c>
      <c r="R195">
        <f t="shared" si="43"/>
        <v>8.8782315660154154</v>
      </c>
      <c r="S195" s="4">
        <f t="shared" si="44"/>
        <v>478.89731094617946</v>
      </c>
    </row>
    <row r="196" spans="1:19" x14ac:dyDescent="0.5">
      <c r="A196" s="3"/>
      <c r="C196">
        <f t="shared" si="36"/>
        <v>-23.460000000000331</v>
      </c>
      <c r="D196" s="23">
        <f t="shared" si="30"/>
        <v>0.55373237033231981</v>
      </c>
      <c r="E196" s="92">
        <f t="shared" si="37"/>
        <v>0</v>
      </c>
      <c r="F196" s="3">
        <f t="shared" si="38"/>
        <v>-18.882021560195735</v>
      </c>
      <c r="G196" s="4">
        <f t="shared" si="31"/>
        <v>32.095997169835563</v>
      </c>
      <c r="I196" s="25">
        <f t="shared" si="32"/>
        <v>-18.439354142174125</v>
      </c>
      <c r="J196">
        <f t="shared" si="33"/>
        <v>0.44266741802161036</v>
      </c>
      <c r="K196" s="4">
        <f t="shared" si="34"/>
        <v>46.094309209014099</v>
      </c>
      <c r="M196" s="3">
        <f t="shared" si="39"/>
        <v>161.46000000000038</v>
      </c>
      <c r="N196">
        <f t="shared" si="40"/>
        <v>-23.460000000000331</v>
      </c>
      <c r="O196">
        <f t="shared" si="41"/>
        <v>-18.882092609226575</v>
      </c>
      <c r="P196">
        <f t="shared" si="35"/>
        <v>32.104844965361004</v>
      </c>
      <c r="Q196">
        <f t="shared" si="42"/>
        <v>-7.1049030839986926E-2</v>
      </c>
      <c r="R196">
        <f t="shared" si="43"/>
        <v>8.8477955254404606</v>
      </c>
      <c r="S196" s="4">
        <f t="shared" si="44"/>
        <v>479.6909104455637</v>
      </c>
    </row>
    <row r="197" spans="1:19" x14ac:dyDescent="0.5">
      <c r="A197" s="3"/>
      <c r="C197">
        <f t="shared" si="36"/>
        <v>-22.77000000000033</v>
      </c>
      <c r="D197" s="23">
        <f t="shared" si="30"/>
        <v>0.52135320693798526</v>
      </c>
      <c r="E197" s="92">
        <f t="shared" si="37"/>
        <v>0</v>
      </c>
      <c r="F197" s="3">
        <f t="shared" si="38"/>
        <v>-18.904167798250526</v>
      </c>
      <c r="G197" s="4">
        <f t="shared" si="31"/>
        <v>30.657606226688735</v>
      </c>
      <c r="I197" s="25">
        <f t="shared" si="32"/>
        <v>-18.47115921555087</v>
      </c>
      <c r="J197">
        <f t="shared" si="33"/>
        <v>0.43300858269965659</v>
      </c>
      <c r="K197" s="4">
        <f t="shared" si="34"/>
        <v>44.718415082142862</v>
      </c>
      <c r="M197" s="3">
        <f t="shared" si="39"/>
        <v>160.77000000000038</v>
      </c>
      <c r="N197">
        <f t="shared" si="40"/>
        <v>-22.77000000000033</v>
      </c>
      <c r="O197">
        <f t="shared" si="41"/>
        <v>-18.904244952260285</v>
      </c>
      <c r="P197">
        <f t="shared" si="35"/>
        <v>30.666418710089477</v>
      </c>
      <c r="Q197">
        <f t="shared" si="42"/>
        <v>-7.7154009758828579E-2</v>
      </c>
      <c r="R197">
        <f t="shared" si="43"/>
        <v>8.8124834007423658</v>
      </c>
      <c r="S197" s="4">
        <f t="shared" si="44"/>
        <v>480.48493078223112</v>
      </c>
    </row>
    <row r="198" spans="1:19" x14ac:dyDescent="0.5">
      <c r="A198" s="3"/>
      <c r="C198">
        <f t="shared" si="36"/>
        <v>-22.080000000000329</v>
      </c>
      <c r="D198" s="23">
        <f t="shared" si="30"/>
        <v>0.48996653329539558</v>
      </c>
      <c r="E198" s="92">
        <f t="shared" si="37"/>
        <v>0</v>
      </c>
      <c r="F198" s="3">
        <f t="shared" si="38"/>
        <v>-18.925321546553569</v>
      </c>
      <c r="G198" s="4">
        <f t="shared" si="31"/>
        <v>29.221597180208114</v>
      </c>
      <c r="I198" s="25">
        <f t="shared" si="32"/>
        <v>-18.502014921978116</v>
      </c>
      <c r="J198">
        <f t="shared" si="33"/>
        <v>0.42330662457545287</v>
      </c>
      <c r="K198" s="4">
        <f t="shared" si="34"/>
        <v>43.342436596173592</v>
      </c>
      <c r="M198" s="3">
        <f t="shared" si="39"/>
        <v>160.08000000000038</v>
      </c>
      <c r="N198">
        <f t="shared" si="40"/>
        <v>-22.080000000000329</v>
      </c>
      <c r="O198">
        <f t="shared" si="41"/>
        <v>-18.92540478117688</v>
      </c>
      <c r="P198">
        <f t="shared" si="35"/>
        <v>29.23036951105075</v>
      </c>
      <c r="Q198">
        <f t="shared" si="42"/>
        <v>-8.3234623311057021E-2</v>
      </c>
      <c r="R198">
        <f t="shared" si="43"/>
        <v>8.7723308426355118</v>
      </c>
      <c r="S198" s="4">
        <f t="shared" si="44"/>
        <v>481.27937169870114</v>
      </c>
    </row>
    <row r="199" spans="1:19" x14ac:dyDescent="0.5">
      <c r="A199" s="3"/>
      <c r="C199">
        <f t="shared" si="36"/>
        <v>-21.390000000000327</v>
      </c>
      <c r="D199" s="23">
        <f t="shared" si="30"/>
        <v>0.45957070589576854</v>
      </c>
      <c r="E199" s="92">
        <f t="shared" si="37"/>
        <v>0</v>
      </c>
      <c r="F199" s="3">
        <f t="shared" si="38"/>
        <v>-18.945484448613652</v>
      </c>
      <c r="G199" s="4">
        <f t="shared" si="31"/>
        <v>27.787963404367826</v>
      </c>
      <c r="I199" s="25">
        <f t="shared" si="32"/>
        <v>-18.531921203248203</v>
      </c>
      <c r="J199">
        <f t="shared" si="33"/>
        <v>0.41356324536544875</v>
      </c>
      <c r="K199" s="4">
        <f t="shared" si="34"/>
        <v>41.966458110040215</v>
      </c>
      <c r="M199" s="3">
        <f t="shared" si="39"/>
        <v>159.39000000000038</v>
      </c>
      <c r="N199">
        <f t="shared" si="40"/>
        <v>-21.390000000000327</v>
      </c>
      <c r="O199">
        <f t="shared" si="41"/>
        <v>-18.945573736145249</v>
      </c>
      <c r="P199">
        <f t="shared" si="35"/>
        <v>27.796690777710051</v>
      </c>
      <c r="Q199">
        <f t="shared" si="42"/>
        <v>-8.928753159764824E-2</v>
      </c>
      <c r="R199">
        <f t="shared" si="43"/>
        <v>8.7273733422250643</v>
      </c>
      <c r="S199" s="4">
        <f t="shared" si="44"/>
        <v>482.07422864589284</v>
      </c>
    </row>
    <row r="200" spans="1:19" x14ac:dyDescent="0.5">
      <c r="A200" s="3"/>
      <c r="C200">
        <f t="shared" si="36"/>
        <v>-20.700000000000326</v>
      </c>
      <c r="D200" s="23">
        <f t="shared" si="30"/>
        <v>0.43016408580227439</v>
      </c>
      <c r="E200" s="92">
        <f t="shared" si="37"/>
        <v>0</v>
      </c>
      <c r="F200" s="3">
        <f t="shared" si="38"/>
        <v>-18.9646581433676</v>
      </c>
      <c r="G200" s="4">
        <f t="shared" si="31"/>
        <v>26.356698298973775</v>
      </c>
      <c r="I200" s="25">
        <f t="shared" si="32"/>
        <v>-18.56087805936113</v>
      </c>
      <c r="J200">
        <f t="shared" si="33"/>
        <v>0.40378008400647047</v>
      </c>
      <c r="K200" s="4">
        <f t="shared" si="34"/>
        <v>40.590563982676649</v>
      </c>
      <c r="M200" s="3">
        <f t="shared" si="39"/>
        <v>158.70000000000039</v>
      </c>
      <c r="N200">
        <f t="shared" si="40"/>
        <v>-20.700000000000326</v>
      </c>
      <c r="O200">
        <f t="shared" si="41"/>
        <v>-18.964753452786809</v>
      </c>
      <c r="P200">
        <f t="shared" si="35"/>
        <v>26.365375932404682</v>
      </c>
      <c r="Q200">
        <f t="shared" si="42"/>
        <v>-9.530941920843361E-2</v>
      </c>
      <c r="R200">
        <f t="shared" si="43"/>
        <v>8.6776334309064396</v>
      </c>
      <c r="S200" s="4">
        <f t="shared" si="44"/>
        <v>482.86950315134675</v>
      </c>
    </row>
    <row r="201" spans="1:19" x14ac:dyDescent="0.5">
      <c r="A201" s="3"/>
      <c r="C201">
        <f t="shared" si="36"/>
        <v>-20.010000000000325</v>
      </c>
      <c r="D201" s="23">
        <f t="shared" si="30"/>
        <v>0.40174503863222771</v>
      </c>
      <c r="E201" s="92">
        <f t="shared" si="37"/>
        <v>0</v>
      </c>
      <c r="F201" s="3">
        <f t="shared" si="38"/>
        <v>-18.982844265198104</v>
      </c>
      <c r="G201" s="4">
        <f t="shared" si="31"/>
        <v>24.927795289488568</v>
      </c>
      <c r="I201" s="25">
        <f t="shared" si="32"/>
        <v>-18.588885548524559</v>
      </c>
      <c r="J201">
        <f t="shared" si="33"/>
        <v>0.39395871667354498</v>
      </c>
      <c r="K201" s="4">
        <f t="shared" si="34"/>
        <v>39.214501137301937</v>
      </c>
      <c r="M201" s="3">
        <f t="shared" si="39"/>
        <v>158.01000000000039</v>
      </c>
      <c r="N201">
        <f t="shared" si="40"/>
        <v>-20.010000000000325</v>
      </c>
      <c r="O201">
        <f t="shared" si="41"/>
        <v>-18.982945562184383</v>
      </c>
      <c r="P201">
        <f t="shared" si="35"/>
        <v>24.936418428365059</v>
      </c>
      <c r="Q201">
        <f t="shared" si="42"/>
        <v>-0.10129698627991957</v>
      </c>
      <c r="R201">
        <f t="shared" si="43"/>
        <v>8.623138876490799</v>
      </c>
      <c r="S201" s="4">
        <f t="shared" si="44"/>
        <v>483.6651941916424</v>
      </c>
    </row>
    <row r="202" spans="1:19" x14ac:dyDescent="0.5">
      <c r="A202" s="3"/>
      <c r="C202">
        <f t="shared" si="36"/>
        <v>-19.320000000000324</v>
      </c>
      <c r="D202" s="23">
        <f t="shared" si="30"/>
        <v>0.37431193453936978</v>
      </c>
      <c r="E202" s="92">
        <f t="shared" si="37"/>
        <v>0</v>
      </c>
      <c r="F202" s="3">
        <f t="shared" si="38"/>
        <v>-19.000044443951413</v>
      </c>
      <c r="G202" s="4">
        <f t="shared" si="31"/>
        <v>23.50124782695945</v>
      </c>
      <c r="I202" s="25">
        <f t="shared" si="32"/>
        <v>-18.615943554323167</v>
      </c>
      <c r="J202">
        <f t="shared" si="33"/>
        <v>0.38410088962824673</v>
      </c>
      <c r="K202" s="4">
        <f t="shared" si="34"/>
        <v>37.838607009636192</v>
      </c>
      <c r="M202" s="3">
        <f t="shared" si="39"/>
        <v>157.32000000000039</v>
      </c>
      <c r="N202">
        <f t="shared" si="40"/>
        <v>-19.320000000000324</v>
      </c>
      <c r="O202">
        <f t="shared" si="41"/>
        <v>-19.000151690903522</v>
      </c>
      <c r="P202">
        <f t="shared" si="35"/>
        <v>23.50981174199142</v>
      </c>
      <c r="Q202">
        <f t="shared" si="42"/>
        <v>-0.10724695210839741</v>
      </c>
      <c r="R202">
        <f t="shared" si="43"/>
        <v>8.5639150319707369</v>
      </c>
      <c r="S202" s="4">
        <f t="shared" si="44"/>
        <v>484.46131391224066</v>
      </c>
    </row>
    <row r="203" spans="1:19" x14ac:dyDescent="0.5">
      <c r="A203" s="3"/>
      <c r="C203">
        <f t="shared" si="36"/>
        <v>-18.630000000000322</v>
      </c>
      <c r="D203" s="23">
        <f t="shared" si="30"/>
        <v>0.34786314819623926</v>
      </c>
      <c r="E203" s="92">
        <f t="shared" si="37"/>
        <v>0</v>
      </c>
      <c r="F203" s="3">
        <f t="shared" si="38"/>
        <v>-19.016260304955001</v>
      </c>
      <c r="G203" s="4">
        <f t="shared" si="31"/>
        <v>22.07704938781232</v>
      </c>
      <c r="I203" s="25">
        <f t="shared" si="32"/>
        <v>-18.642052193172276</v>
      </c>
      <c r="J203">
        <f t="shared" si="33"/>
        <v>0.37420811178272473</v>
      </c>
      <c r="K203" s="4">
        <f t="shared" si="34"/>
        <v>36.462712881827187</v>
      </c>
      <c r="M203" s="3">
        <f t="shared" si="39"/>
        <v>156.63000000000039</v>
      </c>
      <c r="N203">
        <f t="shared" si="40"/>
        <v>-18.630000000000322</v>
      </c>
      <c r="O203">
        <f t="shared" si="41"/>
        <v>-19.016373461008484</v>
      </c>
      <c r="P203">
        <f t="shared" si="35"/>
        <v>22.08554941147024</v>
      </c>
      <c r="Q203">
        <f t="shared" si="42"/>
        <v>-0.1131560534837206</v>
      </c>
      <c r="R203">
        <f t="shared" si="43"/>
        <v>8.5000236579197974</v>
      </c>
      <c r="S203" s="4">
        <f t="shared" si="44"/>
        <v>485.25784391547234</v>
      </c>
    </row>
    <row r="204" spans="1:19" x14ac:dyDescent="0.5">
      <c r="A204" s="3"/>
      <c r="C204">
        <f t="shared" si="36"/>
        <v>-17.940000000000321</v>
      </c>
      <c r="D204" s="23">
        <f t="shared" si="30"/>
        <v>0.32239705877663111</v>
      </c>
      <c r="E204" s="92">
        <f t="shared" si="37"/>
        <v>0</v>
      </c>
      <c r="F204" s="3">
        <f t="shared" si="38"/>
        <v>-19.031493469035066</v>
      </c>
      <c r="G204" s="4">
        <f t="shared" si="31"/>
        <v>20.655193473795141</v>
      </c>
      <c r="I204" s="25">
        <f t="shared" si="32"/>
        <v>-18.667211465071887</v>
      </c>
      <c r="J204">
        <f t="shared" si="33"/>
        <v>0.36428200396317933</v>
      </c>
      <c r="K204" s="4">
        <f t="shared" si="34"/>
        <v>35.086734394951378</v>
      </c>
      <c r="M204" s="3">
        <f t="shared" si="39"/>
        <v>155.9400000000004</v>
      </c>
      <c r="N204">
        <f t="shared" si="40"/>
        <v>-17.940000000000321</v>
      </c>
      <c r="O204">
        <f t="shared" si="41"/>
        <v>-19.031612490104877</v>
      </c>
      <c r="P204">
        <f t="shared" si="35"/>
        <v>20.663624946669227</v>
      </c>
      <c r="Q204">
        <f t="shared" si="42"/>
        <v>-0.11902106981054317</v>
      </c>
      <c r="R204">
        <f t="shared" si="43"/>
        <v>8.4314728740864098</v>
      </c>
      <c r="S204" s="4">
        <f t="shared" si="44"/>
        <v>486.05479910296577</v>
      </c>
    </row>
    <row r="205" spans="1:19" x14ac:dyDescent="0.5">
      <c r="A205" s="3"/>
      <c r="C205">
        <f t="shared" si="36"/>
        <v>-17.25000000000032</v>
      </c>
      <c r="D205" s="23">
        <f t="shared" si="30"/>
        <v>0.29791204993814208</v>
      </c>
      <c r="E205" s="92">
        <f t="shared" si="37"/>
        <v>0</v>
      </c>
      <c r="F205" s="3">
        <f t="shared" si="38"/>
        <v>-19.045745552534012</v>
      </c>
      <c r="G205" s="4">
        <f t="shared" si="31"/>
        <v>19.235673611813109</v>
      </c>
      <c r="I205" s="25">
        <f t="shared" si="32"/>
        <v>-18.691421311814338</v>
      </c>
      <c r="J205">
        <f t="shared" si="33"/>
        <v>0.35432424071967361</v>
      </c>
      <c r="K205" s="4">
        <f t="shared" si="34"/>
        <v>33.710755907942698</v>
      </c>
      <c r="M205" s="3">
        <f t="shared" si="39"/>
        <v>155.2500000000004</v>
      </c>
      <c r="N205">
        <f t="shared" si="40"/>
        <v>-17.25000000000032</v>
      </c>
      <c r="O205">
        <f t="shared" si="41"/>
        <v>-19.045870391320108</v>
      </c>
      <c r="P205">
        <f t="shared" si="35"/>
        <v>19.244031926965636</v>
      </c>
      <c r="Q205">
        <f t="shared" si="42"/>
        <v>-0.12483878609614862</v>
      </c>
      <c r="R205">
        <f t="shared" si="43"/>
        <v>8.3583151525274957</v>
      </c>
      <c r="S205" s="4">
        <f t="shared" si="44"/>
        <v>486.85216897301706</v>
      </c>
    </row>
    <row r="206" spans="1:19" x14ac:dyDescent="0.5">
      <c r="A206" s="3"/>
      <c r="C206">
        <f t="shared" si="36"/>
        <v>-16.560000000000318</v>
      </c>
      <c r="D206" s="23">
        <f t="shared" si="30"/>
        <v>0.27440650980480413</v>
      </c>
      <c r="E206" s="92">
        <f t="shared" si="37"/>
        <v>0</v>
      </c>
      <c r="F206" s="3">
        <f t="shared" si="38"/>
        <v>-19.0590181673278</v>
      </c>
      <c r="G206" s="4">
        <f t="shared" si="31"/>
        <v>17.818483353851498</v>
      </c>
      <c r="I206" s="25">
        <f t="shared" si="32"/>
        <v>-18.71468173339963</v>
      </c>
      <c r="J206">
        <f t="shared" si="33"/>
        <v>0.34433643392817004</v>
      </c>
      <c r="K206" s="4">
        <f t="shared" si="34"/>
        <v>32.334861779735142</v>
      </c>
      <c r="M206" s="3">
        <f t="shared" si="39"/>
        <v>154.5600000000004</v>
      </c>
      <c r="N206">
        <f t="shared" si="40"/>
        <v>-16.560000000000318</v>
      </c>
      <c r="O206">
        <f t="shared" si="41"/>
        <v>-19.059148773351353</v>
      </c>
      <c r="P206">
        <f t="shared" si="35"/>
        <v>17.826763926587798</v>
      </c>
      <c r="Q206">
        <f t="shared" si="42"/>
        <v>-0.13060602355352557</v>
      </c>
      <c r="R206">
        <f t="shared" si="43"/>
        <v>8.2805727363002291</v>
      </c>
      <c r="S206" s="4">
        <f t="shared" si="44"/>
        <v>487.64996600052967</v>
      </c>
    </row>
    <row r="207" spans="1:19" x14ac:dyDescent="0.5">
      <c r="A207" s="3"/>
      <c r="C207">
        <f t="shared" si="36"/>
        <v>-15.870000000000319</v>
      </c>
      <c r="D207" s="23">
        <f t="shared" si="30"/>
        <v>0.25187883094980423</v>
      </c>
      <c r="E207" s="92">
        <f t="shared" si="37"/>
        <v>0</v>
      </c>
      <c r="F207" s="3">
        <f t="shared" si="38"/>
        <v>-19.071312920843258</v>
      </c>
      <c r="G207" s="4">
        <f t="shared" si="31"/>
        <v>16.403616276743911</v>
      </c>
      <c r="I207" s="25">
        <f t="shared" si="32"/>
        <v>-18.736992788035423</v>
      </c>
      <c r="J207">
        <f t="shared" si="33"/>
        <v>0.33432013280783579</v>
      </c>
      <c r="K207" s="4">
        <f t="shared" si="34"/>
        <v>30.958883292476383</v>
      </c>
      <c r="M207" s="3">
        <f t="shared" si="39"/>
        <v>153.8700000000004</v>
      </c>
      <c r="N207">
        <f t="shared" si="40"/>
        <v>-15.870000000000319</v>
      </c>
      <c r="O207">
        <f t="shared" si="41"/>
        <v>-19.071449240462002</v>
      </c>
      <c r="P207">
        <f t="shared" si="35"/>
        <v>16.411814581550317</v>
      </c>
      <c r="Q207">
        <f t="shared" si="42"/>
        <v>-0.13631961874338572</v>
      </c>
      <c r="R207">
        <f t="shared" si="43"/>
        <v>8.1983048064060426</v>
      </c>
      <c r="S207" s="4">
        <f t="shared" si="44"/>
        <v>488.44818239669286</v>
      </c>
    </row>
    <row r="208" spans="1:19" x14ac:dyDescent="0.5">
      <c r="A208" s="3"/>
      <c r="C208">
        <f t="shared" si="36"/>
        <v>-15.180000000000319</v>
      </c>
      <c r="D208" s="23">
        <f t="shared" si="30"/>
        <v>0.23032741037828919</v>
      </c>
      <c r="E208" s="92">
        <f t="shared" si="37"/>
        <v>0</v>
      </c>
      <c r="F208" s="3">
        <f t="shared" si="38"/>
        <v>-19.082631416075227</v>
      </c>
      <c r="G208" s="4">
        <f t="shared" si="31"/>
        <v>14.991065982198018</v>
      </c>
      <c r="I208" s="25">
        <f t="shared" si="32"/>
        <v>-18.758354417514056</v>
      </c>
      <c r="J208">
        <f t="shared" si="33"/>
        <v>0.32427699856117087</v>
      </c>
      <c r="K208" s="4">
        <f t="shared" si="34"/>
        <v>29.582904805100391</v>
      </c>
      <c r="M208" s="3">
        <f t="shared" si="39"/>
        <v>153.1800000000004</v>
      </c>
      <c r="N208">
        <f t="shared" si="40"/>
        <v>-15.180000000000319</v>
      </c>
      <c r="O208">
        <f t="shared" si="41"/>
        <v>-19.082773392524288</v>
      </c>
      <c r="P208">
        <f t="shared" si="35"/>
        <v>14.999177530442168</v>
      </c>
      <c r="Q208">
        <f t="shared" si="42"/>
        <v>-0.14197644906133178</v>
      </c>
      <c r="R208">
        <f t="shared" si="43"/>
        <v>8.1115482441500575</v>
      </c>
      <c r="S208" s="4">
        <f t="shared" si="44"/>
        <v>489.24681478139604</v>
      </c>
    </row>
    <row r="209" spans="1:19" x14ac:dyDescent="0.5">
      <c r="A209" s="3"/>
      <c r="C209">
        <f t="shared" si="36"/>
        <v>-14.49000000000032</v>
      </c>
      <c r="D209" s="23">
        <f t="shared" si="30"/>
        <v>0.20975064951025676</v>
      </c>
      <c r="E209" s="92">
        <f t="shared" si="37"/>
        <v>0</v>
      </c>
      <c r="F209" s="3">
        <f t="shared" si="38"/>
        <v>-19.092975251603718</v>
      </c>
      <c r="G209" s="4">
        <f t="shared" si="31"/>
        <v>13.580826096527868</v>
      </c>
      <c r="I209" s="25">
        <f t="shared" si="32"/>
        <v>-18.77876662183553</v>
      </c>
      <c r="J209">
        <f t="shared" si="33"/>
        <v>0.31420862976818853</v>
      </c>
      <c r="K209" s="4">
        <f t="shared" si="34"/>
        <v>28.206926317612382</v>
      </c>
      <c r="M209" s="3">
        <f t="shared" si="39"/>
        <v>152.49000000000041</v>
      </c>
      <c r="N209">
        <f t="shared" si="40"/>
        <v>-14.49000000000032</v>
      </c>
      <c r="O209">
        <f t="shared" si="41"/>
        <v>-19.093122825021069</v>
      </c>
      <c r="P209">
        <f t="shared" si="35"/>
        <v>13.588846427298853</v>
      </c>
      <c r="Q209">
        <f t="shared" si="42"/>
        <v>-0.14757341735105456</v>
      </c>
      <c r="R209">
        <f t="shared" si="43"/>
        <v>8.0203307709840743</v>
      </c>
      <c r="S209" s="4">
        <f t="shared" si="44"/>
        <v>490.04587680004227</v>
      </c>
    </row>
    <row r="210" spans="1:19" x14ac:dyDescent="0.5">
      <c r="A210" s="3"/>
      <c r="C210">
        <f t="shared" si="36"/>
        <v>-13.80000000000032</v>
      </c>
      <c r="D210" s="23">
        <f t="shared" si="30"/>
        <v>0.19014695416353108</v>
      </c>
      <c r="E210" s="92">
        <f t="shared" si="37"/>
        <v>0</v>
      </c>
      <c r="F210" s="3">
        <f t="shared" si="38"/>
        <v>-19.102346021610899</v>
      </c>
      <c r="G210" s="4">
        <f t="shared" si="31"/>
        <v>12.17289027064354</v>
      </c>
      <c r="I210" s="25">
        <f t="shared" si="32"/>
        <v>-18.798229400999844</v>
      </c>
      <c r="J210">
        <f t="shared" si="33"/>
        <v>0.3041166206110546</v>
      </c>
      <c r="K210" s="4">
        <f t="shared" si="34"/>
        <v>26.831032188946359</v>
      </c>
      <c r="M210" s="3">
        <f t="shared" si="39"/>
        <v>151.80000000000041</v>
      </c>
      <c r="N210">
        <f t="shared" si="40"/>
        <v>-13.80000000000032</v>
      </c>
      <c r="O210">
        <f t="shared" si="41"/>
        <v>-19.102499129056483</v>
      </c>
      <c r="P210">
        <f t="shared" si="35"/>
        <v>12.180814990516565</v>
      </c>
      <c r="Q210">
        <f t="shared" si="42"/>
        <v>-0.15310744558405531</v>
      </c>
      <c r="R210">
        <f t="shared" si="43"/>
        <v>7.924719873024344</v>
      </c>
      <c r="S210" s="4">
        <f t="shared" si="44"/>
        <v>490.84535355676661</v>
      </c>
    </row>
    <row r="211" spans="1:19" x14ac:dyDescent="0.5">
      <c r="A211" s="3"/>
      <c r="C211">
        <f t="shared" si="36"/>
        <v>-13.110000000000321</v>
      </c>
      <c r="D211" s="23">
        <f t="shared" si="30"/>
        <v>0.17151473453682309</v>
      </c>
      <c r="E211" s="92">
        <f t="shared" si="37"/>
        <v>0</v>
      </c>
      <c r="F211" s="3">
        <f t="shared" si="38"/>
        <v>-19.110745315898058</v>
      </c>
      <c r="G211" s="4">
        <f t="shared" si="31"/>
        <v>10.767252179881252</v>
      </c>
      <c r="I211" s="25">
        <f t="shared" si="32"/>
        <v>-18.81674281321466</v>
      </c>
      <c r="J211">
        <f t="shared" si="33"/>
        <v>0.29400250268339789</v>
      </c>
      <c r="K211" s="4">
        <f t="shared" si="34"/>
        <v>25.455053701249948</v>
      </c>
      <c r="M211" s="3">
        <f t="shared" si="39"/>
        <v>151.11000000000041</v>
      </c>
      <c r="N211">
        <f t="shared" si="40"/>
        <v>-13.110000000000321</v>
      </c>
      <c r="O211">
        <f t="shared" si="41"/>
        <v>-19.110903891400355</v>
      </c>
      <c r="P211">
        <f t="shared" si="35"/>
        <v>10.775076920470434</v>
      </c>
      <c r="Q211">
        <f t="shared" si="42"/>
        <v>-0.15857550229725348</v>
      </c>
      <c r="R211">
        <f t="shared" si="43"/>
        <v>7.8247405891822552</v>
      </c>
      <c r="S211" s="4">
        <f t="shared" si="44"/>
        <v>491.64525976712997</v>
      </c>
    </row>
    <row r="212" spans="1:19" x14ac:dyDescent="0.5">
      <c r="A212" s="3"/>
      <c r="C212">
        <f t="shared" si="36"/>
        <v>-12.420000000000321</v>
      </c>
      <c r="D212" s="23">
        <f t="shared" si="30"/>
        <v>0.15385240519287388</v>
      </c>
      <c r="E212" s="92">
        <f t="shared" si="37"/>
        <v>0</v>
      </c>
      <c r="F212" s="3">
        <f t="shared" si="38"/>
        <v>-19.118174719902463</v>
      </c>
      <c r="G212" s="4">
        <f t="shared" si="31"/>
        <v>9.3639055238540525</v>
      </c>
      <c r="I212" s="25">
        <f t="shared" si="32"/>
        <v>-18.834306800272316</v>
      </c>
      <c r="J212">
        <f t="shared" si="33"/>
        <v>0.28386791963014701</v>
      </c>
      <c r="K212" s="4">
        <f t="shared" si="34"/>
        <v>24.079159572385954</v>
      </c>
      <c r="M212" s="3">
        <f t="shared" si="39"/>
        <v>150.42000000000041</v>
      </c>
      <c r="N212">
        <f t="shared" si="40"/>
        <v>-12.420000000000321</v>
      </c>
      <c r="O212">
        <f t="shared" si="41"/>
        <v>-19.118338694475767</v>
      </c>
      <c r="P212">
        <f t="shared" si="35"/>
        <v>9.3716259844707235</v>
      </c>
      <c r="Q212">
        <f t="shared" si="42"/>
        <v>-0.16397457330441512</v>
      </c>
      <c r="R212">
        <f t="shared" si="43"/>
        <v>7.7204606166709766</v>
      </c>
      <c r="S212" s="4">
        <f t="shared" si="44"/>
        <v>492.44558052612837</v>
      </c>
    </row>
    <row r="213" spans="1:19" x14ac:dyDescent="0.5">
      <c r="A213" s="3"/>
      <c r="C213">
        <f t="shared" si="36"/>
        <v>-11.730000000000322</v>
      </c>
      <c r="D213" s="23">
        <f t="shared" si="30"/>
        <v>0.13715838504168226</v>
      </c>
      <c r="E213" s="92">
        <f t="shared" si="37"/>
        <v>0</v>
      </c>
      <c r="F213" s="3">
        <f t="shared" si="38"/>
        <v>-19.124635814714111</v>
      </c>
      <c r="G213" s="4">
        <f t="shared" si="31"/>
        <v>7.9628440263900107</v>
      </c>
      <c r="I213" s="25">
        <f t="shared" si="32"/>
        <v>-18.850921420380473</v>
      </c>
      <c r="J213">
        <f t="shared" si="33"/>
        <v>0.27371439433363776</v>
      </c>
      <c r="K213" s="4">
        <f t="shared" si="34"/>
        <v>22.703181084501985</v>
      </c>
      <c r="M213" s="3">
        <f t="shared" si="39"/>
        <v>149.73000000000042</v>
      </c>
      <c r="N213">
        <f t="shared" si="40"/>
        <v>-11.730000000000322</v>
      </c>
      <c r="O213">
        <f t="shared" si="41"/>
        <v>-19.124805116405241</v>
      </c>
      <c r="P213">
        <f t="shared" si="35"/>
        <v>7.9704559318066215</v>
      </c>
      <c r="Q213">
        <f t="shared" si="42"/>
        <v>-0.16930169113038573</v>
      </c>
      <c r="R213">
        <f t="shared" si="43"/>
        <v>7.6119054166108313</v>
      </c>
      <c r="S213" s="4">
        <f t="shared" si="44"/>
        <v>493.24632891890263</v>
      </c>
    </row>
    <row r="214" spans="1:19" x14ac:dyDescent="0.5">
      <c r="A214" s="3"/>
      <c r="C214">
        <f t="shared" si="36"/>
        <v>-11.040000000000322</v>
      </c>
      <c r="D214" s="23">
        <f t="shared" si="30"/>
        <v>0.12143109732381423</v>
      </c>
      <c r="E214" s="92">
        <f t="shared" si="37"/>
        <v>0</v>
      </c>
      <c r="F214" s="3">
        <f t="shared" si="38"/>
        <v>-19.130130177092436</v>
      </c>
      <c r="G214" s="4">
        <f t="shared" si="31"/>
        <v>6.5640614353726301</v>
      </c>
      <c r="I214" s="25">
        <f t="shared" si="32"/>
        <v>-18.866586615331471</v>
      </c>
      <c r="J214">
        <f t="shared" si="33"/>
        <v>0.26354356176096516</v>
      </c>
      <c r="K214" s="4">
        <f t="shared" si="34"/>
        <v>21.327202596532043</v>
      </c>
      <c r="M214" s="3">
        <f t="shared" si="39"/>
        <v>149.04000000000042</v>
      </c>
      <c r="N214">
        <f t="shared" si="40"/>
        <v>-11.040000000000322</v>
      </c>
      <c r="O214">
        <f t="shared" si="41"/>
        <v>-19.130304730998304</v>
      </c>
      <c r="P214">
        <f t="shared" si="35"/>
        <v>6.5715605735535929</v>
      </c>
      <c r="Q214">
        <f t="shared" si="42"/>
        <v>-0.17455390586817998</v>
      </c>
      <c r="R214">
        <f t="shared" si="43"/>
        <v>7.4991381809628166</v>
      </c>
      <c r="S214" s="4">
        <f t="shared" si="44"/>
        <v>494.04750458593202</v>
      </c>
    </row>
    <row r="215" spans="1:19" x14ac:dyDescent="0.5">
      <c r="A215" s="3"/>
      <c r="C215">
        <f t="shared" si="36"/>
        <v>-10.350000000000323</v>
      </c>
      <c r="D215" s="23">
        <f t="shared" si="30"/>
        <v>0.10666896959379574</v>
      </c>
      <c r="E215" s="92">
        <f t="shared" si="37"/>
        <v>0</v>
      </c>
      <c r="F215" s="3">
        <f t="shared" si="38"/>
        <v>-19.134659379482908</v>
      </c>
      <c r="G215" s="4">
        <f t="shared" si="31"/>
        <v>5.1675515226532953</v>
      </c>
      <c r="I215" s="25">
        <f t="shared" si="32"/>
        <v>-18.881302385125309</v>
      </c>
      <c r="J215">
        <f t="shared" si="33"/>
        <v>0.25335699435759906</v>
      </c>
      <c r="K215" s="4">
        <f t="shared" si="34"/>
        <v>19.951308467410165</v>
      </c>
      <c r="M215" s="3">
        <f t="shared" si="39"/>
        <v>148.35000000000042</v>
      </c>
      <c r="N215">
        <f t="shared" si="40"/>
        <v>-10.350000000000323</v>
      </c>
      <c r="O215">
        <f t="shared" si="41"/>
        <v>-19.134839107794122</v>
      </c>
      <c r="P215">
        <f t="shared" si="35"/>
        <v>5.1749337439569167</v>
      </c>
      <c r="Q215">
        <f t="shared" si="42"/>
        <v>-0.17972831121326749</v>
      </c>
      <c r="R215">
        <f t="shared" si="43"/>
        <v>7.3822213036214279</v>
      </c>
      <c r="S215" s="4">
        <f t="shared" si="44"/>
        <v>494.84909532986768</v>
      </c>
    </row>
    <row r="216" spans="1:19" x14ac:dyDescent="0.5">
      <c r="A216" s="3"/>
      <c r="C216">
        <f t="shared" si="36"/>
        <v>-9.6600000000003234</v>
      </c>
      <c r="D216" s="23">
        <f t="shared" si="30"/>
        <v>9.2870433703586774E-2</v>
      </c>
      <c r="E216" s="92">
        <f t="shared" si="37"/>
        <v>0</v>
      </c>
      <c r="F216" s="3">
        <f t="shared" si="38"/>
        <v>-19.138224990033571</v>
      </c>
      <c r="G216" s="4">
        <f t="shared" si="31"/>
        <v>3.7733080839071209</v>
      </c>
      <c r="I216" s="25">
        <f t="shared" si="32"/>
        <v>-18.895068787969649</v>
      </c>
      <c r="J216">
        <f t="shared" si="33"/>
        <v>0.24315620206392197</v>
      </c>
      <c r="K216" s="4">
        <f t="shared" si="34"/>
        <v>18.575329979283921</v>
      </c>
      <c r="M216" s="3">
        <f t="shared" si="39"/>
        <v>147.66000000000042</v>
      </c>
      <c r="N216">
        <f t="shared" si="40"/>
        <v>-9.6600000000003234</v>
      </c>
      <c r="O216">
        <f t="shared" si="41"/>
        <v>-19.138409812077484</v>
      </c>
      <c r="P216">
        <f t="shared" si="35"/>
        <v>3.7805692669641</v>
      </c>
      <c r="Q216">
        <f t="shared" si="42"/>
        <v>-0.18482204391290225</v>
      </c>
      <c r="R216">
        <f t="shared" si="43"/>
        <v>7.2611830569790925</v>
      </c>
      <c r="S216" s="4">
        <f t="shared" si="44"/>
        <v>495.65111542086652</v>
      </c>
    </row>
    <row r="217" spans="1:19" x14ac:dyDescent="0.5">
      <c r="A217" s="3"/>
      <c r="C217">
        <f t="shared" si="36"/>
        <v>-8.9700000000003239</v>
      </c>
      <c r="D217" s="23">
        <f t="shared" si="30"/>
        <v>8.0033925786136634E-2</v>
      </c>
      <c r="E217" s="92">
        <f t="shared" si="37"/>
        <v>0</v>
      </c>
      <c r="F217" s="3">
        <f t="shared" si="38"/>
        <v>-19.140828572611479</v>
      </c>
      <c r="G217" s="4">
        <f t="shared" si="31"/>
        <v>2.3813249385042194</v>
      </c>
      <c r="I217" s="25">
        <f t="shared" si="32"/>
        <v>-18.907885765656829</v>
      </c>
      <c r="J217">
        <f t="shared" si="33"/>
        <v>0.23294280695465019</v>
      </c>
      <c r="K217" s="4">
        <f t="shared" si="34"/>
        <v>17.199351491087342</v>
      </c>
      <c r="M217" s="3">
        <f t="shared" si="39"/>
        <v>146.97000000000043</v>
      </c>
      <c r="N217">
        <f t="shared" si="40"/>
        <v>-8.9700000000003239</v>
      </c>
      <c r="O217">
        <f t="shared" si="41"/>
        <v>-19.141018404871701</v>
      </c>
      <c r="P217">
        <f t="shared" si="35"/>
        <v>2.3884610308833483</v>
      </c>
      <c r="Q217">
        <f t="shared" si="42"/>
        <v>-0.18983226022228905</v>
      </c>
      <c r="R217">
        <f t="shared" si="43"/>
        <v>7.1360923791288222</v>
      </c>
      <c r="S217" s="4">
        <f t="shared" si="44"/>
        <v>496.45355820873664</v>
      </c>
    </row>
    <row r="218" spans="1:19" x14ac:dyDescent="0.5">
      <c r="A218" s="3"/>
      <c r="C218">
        <f t="shared" si="36"/>
        <v>-8.2800000000003244</v>
      </c>
      <c r="D218" s="23">
        <f t="shared" si="30"/>
        <v>6.8157886239020374E-2</v>
      </c>
      <c r="E218" s="92">
        <f t="shared" si="37"/>
        <v>0</v>
      </c>
      <c r="F218" s="3">
        <f t="shared" si="38"/>
        <v>-19.14247168681905</v>
      </c>
      <c r="G218" s="4">
        <f t="shared" si="31"/>
        <v>0.99159592944792008</v>
      </c>
      <c r="I218" s="25">
        <f t="shared" si="32"/>
        <v>-18.919753318186849</v>
      </c>
      <c r="J218">
        <f t="shared" si="33"/>
        <v>0.22271836863220074</v>
      </c>
      <c r="K218" s="4">
        <f t="shared" si="34"/>
        <v>15.823457361754468</v>
      </c>
      <c r="M218" s="3">
        <f t="shared" si="39"/>
        <v>146.28000000000043</v>
      </c>
      <c r="N218">
        <f t="shared" si="40"/>
        <v>-8.2800000000003244</v>
      </c>
      <c r="O218">
        <f t="shared" si="41"/>
        <v>-19.142666442983014</v>
      </c>
      <c r="P218">
        <f t="shared" si="35"/>
        <v>0.99860292917167681</v>
      </c>
      <c r="Q218">
        <f t="shared" si="42"/>
        <v>-0.19475616396391615</v>
      </c>
      <c r="R218">
        <f t="shared" si="43"/>
        <v>7.006999723756735</v>
      </c>
      <c r="S218" s="4">
        <f t="shared" si="44"/>
        <v>497.25642622639975</v>
      </c>
    </row>
    <row r="219" spans="1:19" x14ac:dyDescent="0.5">
      <c r="A219" s="3"/>
      <c r="C219">
        <f t="shared" si="36"/>
        <v>-7.5900000000003249</v>
      </c>
      <c r="D219" s="23">
        <f t="shared" si="30"/>
        <v>5.7240759708155592E-2</v>
      </c>
      <c r="E219" s="92">
        <f t="shared" si="37"/>
        <v>0</v>
      </c>
      <c r="F219" s="3">
        <f t="shared" si="38"/>
        <v>-19.143155888010369</v>
      </c>
      <c r="G219" s="4">
        <f t="shared" si="31"/>
        <v>-0.39588507679514134</v>
      </c>
      <c r="I219" s="25">
        <f t="shared" si="32"/>
        <v>-18.930671503767371</v>
      </c>
      <c r="J219">
        <f t="shared" si="33"/>
        <v>0.2124843842429982</v>
      </c>
      <c r="K219" s="4">
        <f t="shared" si="34"/>
        <v>14.447478873432845</v>
      </c>
      <c r="M219" s="3">
        <f t="shared" si="39"/>
        <v>145.59000000000043</v>
      </c>
      <c r="N219">
        <f t="shared" si="40"/>
        <v>-7.5900000000003249</v>
      </c>
      <c r="O219">
        <f t="shared" si="41"/>
        <v>-19.143355479004143</v>
      </c>
      <c r="P219">
        <f t="shared" si="35"/>
        <v>-0.38901111382078929</v>
      </c>
      <c r="Q219">
        <f t="shared" si="42"/>
        <v>-0.19959099377331313</v>
      </c>
      <c r="R219">
        <f t="shared" si="43"/>
        <v>6.8739629743520547</v>
      </c>
      <c r="S219" s="4">
        <f t="shared" si="44"/>
        <v>498.05971653038091</v>
      </c>
    </row>
    <row r="220" spans="1:19" x14ac:dyDescent="0.5">
      <c r="A220" s="3"/>
      <c r="C220">
        <f t="shared" si="36"/>
        <v>-6.9000000000003254</v>
      </c>
      <c r="D220" s="23">
        <f t="shared" si="30"/>
        <v>4.7280995071598941E-2</v>
      </c>
      <c r="E220" s="92">
        <f t="shared" si="37"/>
        <v>0</v>
      </c>
      <c r="F220" s="3">
        <f t="shared" si="38"/>
        <v>-19.142882727307381</v>
      </c>
      <c r="G220" s="4">
        <f t="shared" si="31"/>
        <v>-1.781124190382557</v>
      </c>
      <c r="I220" s="25">
        <f t="shared" si="32"/>
        <v>-18.940640264190733</v>
      </c>
      <c r="J220">
        <f t="shared" si="33"/>
        <v>0.20224246311664729</v>
      </c>
      <c r="K220" s="4">
        <f t="shared" si="34"/>
        <v>13.071500385056515</v>
      </c>
      <c r="M220" s="3">
        <f t="shared" si="39"/>
        <v>144.90000000000043</v>
      </c>
      <c r="N220">
        <f t="shared" si="40"/>
        <v>-6.9000000000003254</v>
      </c>
      <c r="O220">
        <f t="shared" si="41"/>
        <v>-19.143087061335606</v>
      </c>
      <c r="P220">
        <f t="shared" si="35"/>
        <v>-1.7743871582973967</v>
      </c>
      <c r="Q220">
        <f t="shared" si="42"/>
        <v>-0.20433402822561675</v>
      </c>
      <c r="R220">
        <f t="shared" si="43"/>
        <v>6.7370320851602994</v>
      </c>
      <c r="S220" s="4">
        <f t="shared" si="44"/>
        <v>498.86344103936284</v>
      </c>
    </row>
    <row r="221" spans="1:19" x14ac:dyDescent="0.5">
      <c r="A221" s="3"/>
      <c r="C221">
        <f t="shared" si="36"/>
        <v>-6.2100000000003259</v>
      </c>
      <c r="D221" s="23">
        <f t="shared" si="30"/>
        <v>3.8277045423422029E-2</v>
      </c>
      <c r="E221" s="92">
        <f t="shared" si="37"/>
        <v>0</v>
      </c>
      <c r="F221" s="3">
        <f t="shared" si="38"/>
        <v>-19.141653751616015</v>
      </c>
      <c r="G221" s="4">
        <f t="shared" si="31"/>
        <v>-3.1641274982351626</v>
      </c>
      <c r="I221" s="25">
        <f t="shared" si="32"/>
        <v>-18.949659599456936</v>
      </c>
      <c r="J221">
        <f t="shared" si="33"/>
        <v>0.19199415215907933</v>
      </c>
      <c r="K221" s="4">
        <f t="shared" si="34"/>
        <v>11.695606255559534</v>
      </c>
      <c r="M221" s="3">
        <f t="shared" si="39"/>
        <v>144.21000000000043</v>
      </c>
      <c r="N221">
        <f t="shared" si="40"/>
        <v>-6.2100000000003259</v>
      </c>
      <c r="O221">
        <f t="shared" si="41"/>
        <v>-19.14186273419638</v>
      </c>
      <c r="P221">
        <f t="shared" si="35"/>
        <v>-3.1575312078240789</v>
      </c>
      <c r="Q221">
        <f t="shared" si="42"/>
        <v>-0.20898258036439188</v>
      </c>
      <c r="R221">
        <f t="shared" si="43"/>
        <v>6.5962904110836718</v>
      </c>
      <c r="S221" s="4">
        <f t="shared" si="44"/>
        <v>499.66757740326921</v>
      </c>
    </row>
    <row r="222" spans="1:19" x14ac:dyDescent="0.5">
      <c r="A222" s="3"/>
      <c r="C222">
        <f t="shared" si="36"/>
        <v>-5.5200000000003264</v>
      </c>
      <c r="D222" s="23">
        <f t="shared" ref="D222:D285" si="45">+($B$35*C222^2+$B$36*C222^3+$B$37*C222^4+$B$38*C222^5+$B$39*C222^6+$B$40*C222^7+$B$41*C222^8+$B$42*C222^9+$B$43*C222^10)*1000</f>
        <v>3.0227368057666487E-2</v>
      </c>
      <c r="E222" s="92">
        <f t="shared" si="37"/>
        <v>0</v>
      </c>
      <c r="F222" s="3">
        <f t="shared" si="38"/>
        <v>-19.139470503642226</v>
      </c>
      <c r="G222" s="4">
        <f t="shared" ref="G222:G285" si="46">+ATAN((F222-F223)/(1000*$F$19))*1000000</f>
        <v>-4.5449010641091228</v>
      </c>
      <c r="I222" s="25">
        <f t="shared" ref="I222:I285" si="47">(+I$25-(I$25^2-C222^2)^0.5)*1000-(+I$25-(I$25^2-C$30^2)^0.5)*1000</f>
        <v>-18.95772956777364</v>
      </c>
      <c r="J222">
        <f t="shared" ref="J222:J285" si="48">+(I222-F222)</f>
        <v>0.18174093586858575</v>
      </c>
      <c r="K222" s="4">
        <f t="shared" ref="K222:K285" si="49">+ATAN((I222-I223)/(1000*$F$19))*1000000</f>
        <v>10.319627767089424</v>
      </c>
      <c r="M222" s="3">
        <f t="shared" si="39"/>
        <v>143.52000000000044</v>
      </c>
      <c r="N222">
        <f t="shared" si="40"/>
        <v>-5.5200000000003264</v>
      </c>
      <c r="O222">
        <f t="shared" si="41"/>
        <v>-19.139684037662974</v>
      </c>
      <c r="P222">
        <f t="shared" ref="P222:P285" si="50">+ATAN((O222-O223)/(1000*$F$19))*1000000</f>
        <v>-4.5384493045832723</v>
      </c>
      <c r="Q222">
        <f t="shared" si="42"/>
        <v>-0.21353402074808514</v>
      </c>
      <c r="R222">
        <f t="shared" si="43"/>
        <v>6.4517595258504201</v>
      </c>
      <c r="S222" s="4">
        <f t="shared" si="44"/>
        <v>500.47214788388061</v>
      </c>
    </row>
    <row r="223" spans="1:19" x14ac:dyDescent="0.5">
      <c r="A223" s="3"/>
      <c r="C223">
        <f t="shared" ref="C223:C286" si="51">+C222+$F$19</f>
        <v>-4.8300000000003269</v>
      </c>
      <c r="D223" s="23">
        <f t="shared" si="45"/>
        <v>2.3130424452377261E-2</v>
      </c>
      <c r="E223" s="92">
        <f t="shared" ref="E223:E286" si="52">IF($B$20="YES",($E$25*$F$18^2/16/$O$3/$O$24*C223^2-$E$25/24/$O$3/$O$24*C223^4)*1000,0)</f>
        <v>0</v>
      </c>
      <c r="F223" s="3">
        <f t="shared" ref="F223:F286" si="53">+D223-$D$30+($F$18/2+C223)/$F$18*($D$30-D$430)+E223-MAX($E$30,$E$430)</f>
        <v>-19.136334521907969</v>
      </c>
      <c r="G223" s="4">
        <f t="shared" si="46"/>
        <v>-5.9234509287452486</v>
      </c>
      <c r="I223" s="25">
        <f t="shared" si="47"/>
        <v>-18.964850110933185</v>
      </c>
      <c r="J223">
        <f t="shared" si="48"/>
        <v>0.1714844109747844</v>
      </c>
      <c r="K223" s="4">
        <f t="shared" si="49"/>
        <v>8.9436492785802333</v>
      </c>
      <c r="M223" s="3">
        <f t="shared" ref="M223:M286" si="54">+M222-$F$19</f>
        <v>142.83000000000044</v>
      </c>
      <c r="N223">
        <f t="shared" ref="N223:N286" si="55">+N222+$F$19</f>
        <v>-4.8300000000003269</v>
      </c>
      <c r="O223">
        <f t="shared" ref="O223:O286" si="56">IF($O$9=0,(-$O$13*N223^3/6/$O$14+$O$12*N223^2/2/$O$14+$O$16*N223+$O$17)*1000,($O$18*(($O$14+$O$15*N223)/$O$15*LN($O$14+$O$15*N223)-N223)-$O$13*N223^2/(2*$O$15)+$O$16*N223+$O$17)*1000)</f>
        <v>-19.13655250764279</v>
      </c>
      <c r="P223">
        <f t="shared" si="50"/>
        <v>-5.9171474058012707</v>
      </c>
      <c r="Q223">
        <f t="shared" ref="Q223:Q286" si="57">+(O223-F223)*1000</f>
        <v>-0.21798573482101347</v>
      </c>
      <c r="R223">
        <f t="shared" ref="R223:R286" si="58">+(P223-(G223))*1000</f>
        <v>6.3035229439778462</v>
      </c>
      <c r="S223" s="4">
        <f t="shared" ref="S223:S286" si="59">ABS(1000/((P224-P223)/(N224-N223)))</f>
        <v>501.27714976062884</v>
      </c>
    </row>
    <row r="224" spans="1:19" x14ac:dyDescent="0.5">
      <c r="A224" s="3"/>
      <c r="C224">
        <f t="shared" si="51"/>
        <v>-4.1400000000003274</v>
      </c>
      <c r="D224" s="23">
        <f t="shared" si="45"/>
        <v>1.6984680253713989E-2</v>
      </c>
      <c r="E224" s="92">
        <f t="shared" si="52"/>
        <v>0</v>
      </c>
      <c r="F224" s="3">
        <f t="shared" si="53"/>
        <v>-19.132247340767087</v>
      </c>
      <c r="G224" s="4">
        <f t="shared" si="46"/>
        <v>-7.2997831099719672</v>
      </c>
      <c r="I224" s="25">
        <f t="shared" si="47"/>
        <v>-18.97102122893557</v>
      </c>
      <c r="J224">
        <f t="shared" si="48"/>
        <v>0.16122611183151747</v>
      </c>
      <c r="K224" s="4">
        <f t="shared" si="49"/>
        <v>7.5677551489660324</v>
      </c>
      <c r="M224" s="3">
        <f t="shared" si="54"/>
        <v>142.14000000000044</v>
      </c>
      <c r="N224">
        <f t="shared" si="55"/>
        <v>-4.1400000000003274</v>
      </c>
      <c r="O224">
        <f t="shared" si="56"/>
        <v>-19.13246967593274</v>
      </c>
      <c r="P224">
        <f t="shared" si="50"/>
        <v>-7.2936314532578326</v>
      </c>
      <c r="Q224">
        <f t="shared" si="57"/>
        <v>-0.22233516565250966</v>
      </c>
      <c r="R224">
        <f t="shared" si="58"/>
        <v>6.1516567141346457</v>
      </c>
      <c r="S224" s="4">
        <f t="shared" si="59"/>
        <v>502.0825690337677</v>
      </c>
    </row>
    <row r="225" spans="1:19" x14ac:dyDescent="0.5">
      <c r="A225" s="3"/>
      <c r="C225">
        <f t="shared" si="51"/>
        <v>-3.4500000000003275</v>
      </c>
      <c r="D225" s="23">
        <f t="shared" si="45"/>
        <v>1.1788605260139919E-2</v>
      </c>
      <c r="E225" s="92">
        <f t="shared" si="52"/>
        <v>0</v>
      </c>
      <c r="F225" s="3">
        <f t="shared" si="53"/>
        <v>-19.127210490421117</v>
      </c>
      <c r="G225" s="4">
        <f t="shared" si="46"/>
        <v>-8.6739036028134588</v>
      </c>
      <c r="I225" s="25">
        <f t="shared" si="47"/>
        <v>-18.976242979988456</v>
      </c>
      <c r="J225">
        <f t="shared" si="48"/>
        <v>0.1509675104326611</v>
      </c>
      <c r="K225" s="4">
        <f t="shared" si="49"/>
        <v>6.1916923014654657</v>
      </c>
      <c r="M225" s="3">
        <f t="shared" si="54"/>
        <v>141.45000000000044</v>
      </c>
      <c r="N225">
        <f t="shared" si="55"/>
        <v>-3.4500000000003275</v>
      </c>
      <c r="O225">
        <f t="shared" si="56"/>
        <v>-19.127437070229902</v>
      </c>
      <c r="P225">
        <f t="shared" si="50"/>
        <v>-8.6679074041793509</v>
      </c>
      <c r="Q225">
        <f t="shared" si="57"/>
        <v>-0.22657980878548756</v>
      </c>
      <c r="R225">
        <f t="shared" si="58"/>
        <v>5.996198634107941</v>
      </c>
      <c r="S225" s="4">
        <f t="shared" si="59"/>
        <v>502.88841892977979</v>
      </c>
    </row>
    <row r="226" spans="1:19" x14ac:dyDescent="0.5">
      <c r="A226" s="3"/>
      <c r="C226">
        <f t="shared" si="51"/>
        <v>-2.7600000000003275</v>
      </c>
      <c r="D226" s="23">
        <f t="shared" si="45"/>
        <v>7.5406734066878053E-3</v>
      </c>
      <c r="E226" s="92">
        <f t="shared" si="52"/>
        <v>0</v>
      </c>
      <c r="F226" s="3">
        <f t="shared" si="53"/>
        <v>-19.121225496935025</v>
      </c>
      <c r="G226" s="4">
        <f t="shared" si="46"/>
        <v>-10.045818379602924</v>
      </c>
      <c r="I226" s="25">
        <f t="shared" si="47"/>
        <v>-18.980515247676522</v>
      </c>
      <c r="J226">
        <f t="shared" si="48"/>
        <v>0.14071024925850395</v>
      </c>
      <c r="K226" s="4">
        <f t="shared" si="49"/>
        <v>4.8158825307280253</v>
      </c>
      <c r="M226" s="3">
        <f t="shared" si="54"/>
        <v>140.76000000000045</v>
      </c>
      <c r="N226">
        <f t="shared" si="55"/>
        <v>-2.7600000000003275</v>
      </c>
      <c r="O226">
        <f t="shared" si="56"/>
        <v>-19.121456214120869</v>
      </c>
      <c r="P226">
        <f t="shared" si="50"/>
        <v>-10.039981156580373</v>
      </c>
      <c r="Q226">
        <f t="shared" si="57"/>
        <v>-0.23071718584333212</v>
      </c>
      <c r="R226">
        <f t="shared" si="58"/>
        <v>5.8372230225511856</v>
      </c>
      <c r="S226" s="4">
        <f t="shared" si="59"/>
        <v>503.69469300986844</v>
      </c>
    </row>
    <row r="227" spans="1:19" x14ac:dyDescent="0.5">
      <c r="A227" s="3"/>
      <c r="C227">
        <f t="shared" si="51"/>
        <v>-2.0700000000003276</v>
      </c>
      <c r="D227" s="23">
        <f t="shared" si="45"/>
        <v>4.239362749302528E-3</v>
      </c>
      <c r="E227" s="92">
        <f t="shared" si="52"/>
        <v>0</v>
      </c>
      <c r="F227" s="3">
        <f t="shared" si="53"/>
        <v>-19.114293882252866</v>
      </c>
      <c r="G227" s="4">
        <f t="shared" si="46"/>
        <v>-11.415533390090706</v>
      </c>
      <c r="I227" s="25">
        <f t="shared" si="47"/>
        <v>-18.98383820662275</v>
      </c>
      <c r="J227">
        <f t="shared" si="48"/>
        <v>0.13045567563011673</v>
      </c>
      <c r="K227" s="4">
        <f t="shared" si="49"/>
        <v>3.4399040421146352</v>
      </c>
      <c r="M227" s="3">
        <f t="shared" si="54"/>
        <v>140.07000000000045</v>
      </c>
      <c r="N227">
        <f t="shared" si="55"/>
        <v>-2.0700000000003276</v>
      </c>
      <c r="O227">
        <f t="shared" si="56"/>
        <v>-19.114528627122596</v>
      </c>
      <c r="P227">
        <f t="shared" si="50"/>
        <v>-11.409858603326633</v>
      </c>
      <c r="Q227">
        <f t="shared" si="57"/>
        <v>-0.23474486972929753</v>
      </c>
      <c r="R227">
        <f t="shared" si="58"/>
        <v>5.6747867640734029</v>
      </c>
      <c r="S227" s="4">
        <f t="shared" si="59"/>
        <v>504.50140188842727</v>
      </c>
    </row>
    <row r="228" spans="1:19" x14ac:dyDescent="0.5">
      <c r="A228" s="3"/>
      <c r="C228">
        <f t="shared" si="51"/>
        <v>-1.3800000000003276</v>
      </c>
      <c r="D228" s="23">
        <f t="shared" si="45"/>
        <v>1.883155449259751E-3</v>
      </c>
      <c r="E228" s="92">
        <f t="shared" si="52"/>
        <v>0</v>
      </c>
      <c r="F228" s="3">
        <f t="shared" si="53"/>
        <v>-19.106417164213362</v>
      </c>
      <c r="G228" s="4">
        <f t="shared" si="46"/>
        <v>-12.783054561542134</v>
      </c>
      <c r="I228" s="25">
        <f t="shared" si="47"/>
        <v>-18.986211740411818</v>
      </c>
      <c r="J228">
        <f t="shared" si="48"/>
        <v>0.12020542380154353</v>
      </c>
      <c r="K228" s="4">
        <f t="shared" si="49"/>
        <v>2.0638411945593598</v>
      </c>
      <c r="M228" s="3">
        <f t="shared" si="54"/>
        <v>139.38000000000045</v>
      </c>
      <c r="N228">
        <f t="shared" si="55"/>
        <v>-1.3800000000003276</v>
      </c>
      <c r="O228">
        <f t="shared" si="56"/>
        <v>-19.106655824685959</v>
      </c>
      <c r="P228">
        <f t="shared" si="50"/>
        <v>-12.777545585795309</v>
      </c>
      <c r="Q228">
        <f t="shared" si="57"/>
        <v>-0.23866047259701872</v>
      </c>
      <c r="R228">
        <f t="shared" si="58"/>
        <v>5.5089757468245182</v>
      </c>
      <c r="S228" s="4">
        <f t="shared" si="59"/>
        <v>505.30853349429896</v>
      </c>
    </row>
    <row r="229" spans="1:19" x14ac:dyDescent="0.5">
      <c r="A229" s="3"/>
      <c r="C229">
        <f t="shared" si="51"/>
        <v>-0.69000000000032768</v>
      </c>
      <c r="D229" s="23">
        <f t="shared" si="45"/>
        <v>4.7053775766033832E-4</v>
      </c>
      <c r="E229" s="92">
        <f t="shared" si="52"/>
        <v>0</v>
      </c>
      <c r="F229" s="3">
        <f t="shared" si="53"/>
        <v>-19.097596856565417</v>
      </c>
      <c r="G229" s="4">
        <f t="shared" si="46"/>
        <v>-14.148387798886812</v>
      </c>
      <c r="I229" s="25">
        <f t="shared" si="47"/>
        <v>-18.987635790836066</v>
      </c>
      <c r="J229">
        <f t="shared" si="48"/>
        <v>0.10996106572935105</v>
      </c>
      <c r="K229" s="4">
        <f t="shared" si="49"/>
        <v>0.68803142378284821</v>
      </c>
      <c r="M229" s="3">
        <f t="shared" si="54"/>
        <v>138.69000000000045</v>
      </c>
      <c r="N229">
        <f t="shared" si="55"/>
        <v>-0.69000000000032768</v>
      </c>
      <c r="O229">
        <f t="shared" si="56"/>
        <v>-19.09783931823128</v>
      </c>
      <c r="P229">
        <f t="shared" si="50"/>
        <v>-14.143047955661352</v>
      </c>
      <c r="Q229">
        <f t="shared" si="57"/>
        <v>-0.24246166586294748</v>
      </c>
      <c r="R229">
        <f t="shared" si="58"/>
        <v>5.3398432254603279</v>
      </c>
      <c r="S229" s="4">
        <f t="shared" si="59"/>
        <v>506.11609380233529</v>
      </c>
    </row>
    <row r="230" spans="1:19" x14ac:dyDescent="0.5">
      <c r="A230" s="3"/>
      <c r="C230">
        <f t="shared" si="51"/>
        <v>-3.2773783686934621E-13</v>
      </c>
      <c r="D230" s="23">
        <f t="shared" si="45"/>
        <v>1.0610062684802815E-28</v>
      </c>
      <c r="E230" s="92">
        <f t="shared" si="52"/>
        <v>0</v>
      </c>
      <c r="F230" s="3">
        <f t="shared" si="53"/>
        <v>-19.087834468983534</v>
      </c>
      <c r="G230" s="4">
        <f t="shared" si="46"/>
        <v>-15.511538984780444</v>
      </c>
      <c r="I230" s="25">
        <f t="shared" si="47"/>
        <v>-18.988110532518476</v>
      </c>
      <c r="J230">
        <f t="shared" si="48"/>
        <v>9.9723936465057506E-2</v>
      </c>
      <c r="K230" s="4">
        <f t="shared" si="49"/>
        <v>-0.68803142378284821</v>
      </c>
      <c r="M230" s="3">
        <f t="shared" si="54"/>
        <v>138.00000000000045</v>
      </c>
      <c r="N230">
        <f t="shared" si="55"/>
        <v>-3.2773783686934621E-13</v>
      </c>
      <c r="O230">
        <f t="shared" si="56"/>
        <v>-19.088080615141223</v>
      </c>
      <c r="P230">
        <f t="shared" si="50"/>
        <v>-15.506371525983305</v>
      </c>
      <c r="Q230">
        <f t="shared" si="57"/>
        <v>-0.24614615768925319</v>
      </c>
      <c r="R230">
        <f t="shared" si="58"/>
        <v>5.1674587971390906</v>
      </c>
      <c r="S230" s="4">
        <f t="shared" si="59"/>
        <v>506.9240821948859</v>
      </c>
    </row>
    <row r="231" spans="1:19" x14ac:dyDescent="0.5">
      <c r="A231" s="3"/>
      <c r="C231">
        <f t="shared" si="51"/>
        <v>0.68999999999967221</v>
      </c>
      <c r="D231" s="23">
        <f t="shared" si="45"/>
        <v>4.7003656081373769E-4</v>
      </c>
      <c r="E231" s="92">
        <f t="shared" si="52"/>
        <v>0</v>
      </c>
      <c r="F231" s="3">
        <f t="shared" si="53"/>
        <v>-19.077131507083177</v>
      </c>
      <c r="G231" s="4">
        <f t="shared" si="46"/>
        <v>-16.872513979743808</v>
      </c>
      <c r="I231" s="25">
        <f t="shared" si="47"/>
        <v>-18.987635790836066</v>
      </c>
      <c r="J231">
        <f t="shared" si="48"/>
        <v>8.9495716247110835E-2</v>
      </c>
      <c r="K231" s="4">
        <f t="shared" si="49"/>
        <v>-2.0638411945593598</v>
      </c>
      <c r="M231" s="3">
        <f t="shared" si="54"/>
        <v>137.31000000000046</v>
      </c>
      <c r="N231">
        <f t="shared" si="55"/>
        <v>0.68999999999967221</v>
      </c>
      <c r="O231">
        <f t="shared" si="56"/>
        <v>-19.077381218787437</v>
      </c>
      <c r="P231">
        <f t="shared" si="50"/>
        <v>-16.867522089224313</v>
      </c>
      <c r="Q231">
        <f t="shared" si="57"/>
        <v>-0.249711704260136</v>
      </c>
      <c r="R231">
        <f t="shared" si="58"/>
        <v>4.9918905194950014</v>
      </c>
      <c r="S231" s="4">
        <f t="shared" si="59"/>
        <v>507.73250578306181</v>
      </c>
    </row>
    <row r="232" spans="1:19" x14ac:dyDescent="0.5">
      <c r="A232" s="3"/>
      <c r="C232">
        <f t="shared" si="51"/>
        <v>1.3799999999996722</v>
      </c>
      <c r="D232" s="23">
        <f t="shared" si="45"/>
        <v>1.8791458683946505E-3</v>
      </c>
      <c r="E232" s="92">
        <f t="shared" si="52"/>
        <v>0</v>
      </c>
      <c r="F232" s="3">
        <f t="shared" si="53"/>
        <v>-19.065489472436049</v>
      </c>
      <c r="G232" s="4">
        <f t="shared" si="46"/>
        <v>-18.231318622234877</v>
      </c>
      <c r="I232" s="25">
        <f t="shared" si="47"/>
        <v>-18.986211740411818</v>
      </c>
      <c r="J232">
        <f t="shared" si="48"/>
        <v>7.9277732024230829E-2</v>
      </c>
      <c r="K232" s="4">
        <f t="shared" si="49"/>
        <v>-3.4399040421146352</v>
      </c>
      <c r="M232" s="3">
        <f t="shared" si="54"/>
        <v>136.62000000000046</v>
      </c>
      <c r="N232">
        <f t="shared" si="55"/>
        <v>1.3799999999996722</v>
      </c>
      <c r="O232">
        <f t="shared" si="56"/>
        <v>-19.065742628544768</v>
      </c>
      <c r="P232">
        <f t="shared" si="50"/>
        <v>-18.226505396656702</v>
      </c>
      <c r="Q232">
        <f t="shared" si="57"/>
        <v>-0.25315610871956551</v>
      </c>
      <c r="R232">
        <f t="shared" si="58"/>
        <v>4.8132255781752065</v>
      </c>
      <c r="S232" s="4">
        <f t="shared" si="59"/>
        <v>508.54135154755596</v>
      </c>
    </row>
    <row r="233" spans="1:19" x14ac:dyDescent="0.5">
      <c r="A233" s="3"/>
      <c r="C233">
        <f t="shared" si="51"/>
        <v>2.0699999999996721</v>
      </c>
      <c r="D233" s="23">
        <f t="shared" si="45"/>
        <v>4.2258303795866606E-3</v>
      </c>
      <c r="E233" s="92">
        <f t="shared" si="52"/>
        <v>0</v>
      </c>
      <c r="F233" s="3">
        <f t="shared" si="53"/>
        <v>-19.052909862585313</v>
      </c>
      <c r="G233" s="4">
        <f t="shared" si="46"/>
        <v>-19.587958728813568</v>
      </c>
      <c r="I233" s="25">
        <f t="shared" si="47"/>
        <v>-18.98383820662275</v>
      </c>
      <c r="J233">
        <f t="shared" si="48"/>
        <v>6.9071655962563483E-2</v>
      </c>
      <c r="K233" s="4">
        <f t="shared" si="49"/>
        <v>-4.8158825307280253</v>
      </c>
      <c r="M233" s="3">
        <f t="shared" si="54"/>
        <v>135.93000000000046</v>
      </c>
      <c r="N233">
        <f t="shared" si="55"/>
        <v>2.0699999999996721</v>
      </c>
      <c r="O233">
        <f t="shared" si="56"/>
        <v>-19.053166339819683</v>
      </c>
      <c r="P233">
        <f t="shared" si="50"/>
        <v>-19.583327212424962</v>
      </c>
      <c r="Q233">
        <f t="shared" si="57"/>
        <v>-0.25647723436961201</v>
      </c>
      <c r="R233">
        <f t="shared" si="58"/>
        <v>4.6315163886063715</v>
      </c>
      <c r="S233" s="4">
        <f t="shared" si="59"/>
        <v>509.35062667186361</v>
      </c>
    </row>
    <row r="234" spans="1:19" x14ac:dyDescent="0.5">
      <c r="A234" s="3"/>
      <c r="C234">
        <f t="shared" si="51"/>
        <v>2.759999999999672</v>
      </c>
      <c r="D234" s="23">
        <f t="shared" si="45"/>
        <v>7.5085965646507161E-3</v>
      </c>
      <c r="E234" s="92">
        <f t="shared" si="52"/>
        <v>0</v>
      </c>
      <c r="F234" s="3">
        <f t="shared" si="53"/>
        <v>-19.039394171060703</v>
      </c>
      <c r="G234" s="4">
        <f t="shared" si="46"/>
        <v>-20.942440094177766</v>
      </c>
      <c r="I234" s="25">
        <f t="shared" si="47"/>
        <v>-18.980515247676522</v>
      </c>
      <c r="J234">
        <f t="shared" si="48"/>
        <v>5.8878923384181547E-2</v>
      </c>
      <c r="K234" s="4">
        <f t="shared" si="49"/>
        <v>-6.1916923014654657</v>
      </c>
      <c r="M234" s="3">
        <f t="shared" si="54"/>
        <v>135.24000000000046</v>
      </c>
      <c r="N234">
        <f t="shared" si="55"/>
        <v>2.759999999999672</v>
      </c>
      <c r="O234">
        <f t="shared" si="56"/>
        <v>-19.039653844041382</v>
      </c>
      <c r="P234">
        <f t="shared" si="50"/>
        <v>-20.937993259482788</v>
      </c>
      <c r="Q234">
        <f t="shared" si="57"/>
        <v>-0.25967298067897104</v>
      </c>
      <c r="R234">
        <f t="shared" si="58"/>
        <v>4.4468346949777526</v>
      </c>
      <c r="S234" s="4">
        <f t="shared" si="59"/>
        <v>510.16034041514519</v>
      </c>
    </row>
    <row r="235" spans="1:19" x14ac:dyDescent="0.5">
      <c r="A235" s="3"/>
      <c r="C235">
        <f t="shared" si="51"/>
        <v>3.449999999999672</v>
      </c>
      <c r="D235" s="23">
        <f t="shared" si="45"/>
        <v>1.1725954892204052E-2</v>
      </c>
      <c r="E235" s="92">
        <f t="shared" si="52"/>
        <v>0</v>
      </c>
      <c r="F235" s="3">
        <f t="shared" si="53"/>
        <v>-19.024943887393608</v>
      </c>
      <c r="G235" s="4">
        <f t="shared" si="46"/>
        <v>-22.29476849133842</v>
      </c>
      <c r="I235" s="25">
        <f t="shared" si="47"/>
        <v>-18.976242979988456</v>
      </c>
      <c r="J235">
        <f t="shared" si="48"/>
        <v>4.8700907405152094E-2</v>
      </c>
      <c r="K235" s="4">
        <f t="shared" si="49"/>
        <v>-7.5677551489660324</v>
      </c>
      <c r="M235" s="3">
        <f t="shared" si="54"/>
        <v>134.55000000000047</v>
      </c>
      <c r="N235">
        <f t="shared" si="55"/>
        <v>3.449999999999672</v>
      </c>
      <c r="O235">
        <f t="shared" si="56"/>
        <v>-19.025206628690228</v>
      </c>
      <c r="P235">
        <f t="shared" si="50"/>
        <v>-22.290509214444143</v>
      </c>
      <c r="Q235">
        <f t="shared" si="57"/>
        <v>-0.26274129661985057</v>
      </c>
      <c r="R235">
        <f t="shared" si="58"/>
        <v>4.2592768942775194</v>
      </c>
      <c r="S235" s="4">
        <f t="shared" si="59"/>
        <v>510.97047394543443</v>
      </c>
    </row>
    <row r="236" spans="1:19" x14ac:dyDescent="0.5">
      <c r="A236" s="3"/>
      <c r="C236">
        <f t="shared" si="51"/>
        <v>4.1399999999996719</v>
      </c>
      <c r="D236" s="23">
        <f t="shared" si="45"/>
        <v>1.687641981423205E-2</v>
      </c>
      <c r="E236" s="92">
        <f t="shared" si="52"/>
        <v>0</v>
      </c>
      <c r="F236" s="3">
        <f t="shared" si="53"/>
        <v>-19.009560497132036</v>
      </c>
      <c r="G236" s="4">
        <f t="shared" si="46"/>
        <v>-23.644949671665859</v>
      </c>
      <c r="I236" s="25">
        <f t="shared" si="47"/>
        <v>-18.97102122893557</v>
      </c>
      <c r="J236">
        <f t="shared" si="48"/>
        <v>3.8539268196466026E-2</v>
      </c>
      <c r="K236" s="4">
        <f t="shared" si="49"/>
        <v>-8.9436492785802333</v>
      </c>
      <c r="M236" s="3">
        <f t="shared" si="54"/>
        <v>133.86000000000047</v>
      </c>
      <c r="N236">
        <f t="shared" si="55"/>
        <v>4.1399999999996719</v>
      </c>
      <c r="O236">
        <f t="shared" si="56"/>
        <v>-19.009826177329714</v>
      </c>
      <c r="P236">
        <f t="shared" si="50"/>
        <v>-23.640880782241783</v>
      </c>
      <c r="Q236">
        <f t="shared" si="57"/>
        <v>-0.26568019767836404</v>
      </c>
      <c r="R236">
        <f t="shared" si="58"/>
        <v>4.0688894240759055</v>
      </c>
      <c r="S236" s="4">
        <f t="shared" si="59"/>
        <v>511.78104438991085</v>
      </c>
    </row>
    <row r="237" spans="1:19" x14ac:dyDescent="0.5">
      <c r="A237" s="3"/>
      <c r="C237">
        <f t="shared" si="51"/>
        <v>4.8299999999996714</v>
      </c>
      <c r="D237" s="23">
        <f t="shared" si="45"/>
        <v>2.29585097511723E-2</v>
      </c>
      <c r="E237" s="92">
        <f t="shared" si="52"/>
        <v>0</v>
      </c>
      <c r="F237" s="3">
        <f t="shared" si="53"/>
        <v>-18.993245481855546</v>
      </c>
      <c r="G237" s="4">
        <f t="shared" si="46"/>
        <v>-24.992989364997925</v>
      </c>
      <c r="I237" s="25">
        <f t="shared" si="47"/>
        <v>-18.964850110933185</v>
      </c>
      <c r="J237">
        <f t="shared" si="48"/>
        <v>2.8395370922360996E-2</v>
      </c>
      <c r="K237" s="4">
        <f t="shared" si="49"/>
        <v>-10.319627767089424</v>
      </c>
      <c r="M237" s="3">
        <f t="shared" si="54"/>
        <v>133.17000000000047</v>
      </c>
      <c r="N237">
        <f t="shared" si="55"/>
        <v>4.8299999999996714</v>
      </c>
      <c r="O237">
        <f t="shared" si="56"/>
        <v>-18.993513969586928</v>
      </c>
      <c r="P237">
        <f t="shared" si="50"/>
        <v>-24.989113600873317</v>
      </c>
      <c r="Q237">
        <f t="shared" si="57"/>
        <v>-0.26848773138254955</v>
      </c>
      <c r="R237">
        <f t="shared" si="58"/>
        <v>3.8757641246078833</v>
      </c>
      <c r="S237" s="4">
        <f t="shared" si="59"/>
        <v>512.59204658716919</v>
      </c>
    </row>
    <row r="238" spans="1:19" x14ac:dyDescent="0.5">
      <c r="A238" s="3"/>
      <c r="C238">
        <f t="shared" si="51"/>
        <v>5.5199999999996709</v>
      </c>
      <c r="D238" s="23">
        <f t="shared" si="45"/>
        <v>2.9970747077070467E-2</v>
      </c>
      <c r="E238" s="92">
        <f t="shared" si="52"/>
        <v>0</v>
      </c>
      <c r="F238" s="3">
        <f t="shared" si="53"/>
        <v>-18.976000319190106</v>
      </c>
      <c r="G238" s="4">
        <f t="shared" si="46"/>
        <v>-26.338893279825321</v>
      </c>
      <c r="I238" s="25">
        <f t="shared" si="47"/>
        <v>-18.95772956777364</v>
      </c>
      <c r="J238">
        <f t="shared" si="48"/>
        <v>1.8270751416466169E-2</v>
      </c>
      <c r="K238" s="4">
        <f t="shared" si="49"/>
        <v>-11.695606255559534</v>
      </c>
      <c r="M238" s="3">
        <f t="shared" si="54"/>
        <v>132.48000000000047</v>
      </c>
      <c r="N238">
        <f t="shared" si="55"/>
        <v>5.5199999999996709</v>
      </c>
      <c r="O238">
        <f t="shared" si="56"/>
        <v>-18.976271481198737</v>
      </c>
      <c r="P238">
        <f t="shared" si="50"/>
        <v>-26.33521330061312</v>
      </c>
      <c r="Q238">
        <f t="shared" si="57"/>
        <v>-0.27116200863019913</v>
      </c>
      <c r="R238">
        <f t="shared" si="58"/>
        <v>3.6799792122010899</v>
      </c>
      <c r="S238" s="4">
        <f t="shared" si="59"/>
        <v>513.4034783011208</v>
      </c>
    </row>
    <row r="239" spans="1:19" x14ac:dyDescent="0.5">
      <c r="A239" s="3"/>
      <c r="C239">
        <f t="shared" si="51"/>
        <v>6.2099999999996705</v>
      </c>
      <c r="D239" s="23">
        <f t="shared" si="45"/>
        <v>3.79116581048074E-2</v>
      </c>
      <c r="E239" s="92">
        <f t="shared" si="52"/>
        <v>0</v>
      </c>
      <c r="F239" s="3">
        <f t="shared" si="53"/>
        <v>-18.957826482822824</v>
      </c>
      <c r="G239" s="4">
        <f t="shared" si="46"/>
        <v>-27.682667103265878</v>
      </c>
      <c r="I239" s="25">
        <f t="shared" si="47"/>
        <v>-18.949659599456936</v>
      </c>
      <c r="J239">
        <f t="shared" si="48"/>
        <v>8.1668833658881113E-3</v>
      </c>
      <c r="K239" s="4">
        <f t="shared" si="49"/>
        <v>-13.071500385056515</v>
      </c>
      <c r="M239" s="3">
        <f t="shared" si="54"/>
        <v>131.79000000000048</v>
      </c>
      <c r="N239">
        <f t="shared" si="55"/>
        <v>6.2099999999996705</v>
      </c>
      <c r="O239">
        <f t="shared" si="56"/>
        <v>-18.958100184017113</v>
      </c>
      <c r="P239">
        <f t="shared" si="50"/>
        <v>-27.679185496289016</v>
      </c>
      <c r="Q239">
        <f t="shared" si="57"/>
        <v>-0.27370119428837825</v>
      </c>
      <c r="R239">
        <f t="shared" si="58"/>
        <v>3.4816069768623947</v>
      </c>
      <c r="S239" s="4">
        <f t="shared" si="59"/>
        <v>514.21534026770701</v>
      </c>
    </row>
    <row r="240" spans="1:19" x14ac:dyDescent="0.5">
      <c r="A240" s="3"/>
      <c r="C240">
        <f t="shared" si="51"/>
        <v>6.89999999999967</v>
      </c>
      <c r="D240" s="23">
        <f t="shared" si="45"/>
        <v>4.677977307139726E-2</v>
      </c>
      <c r="E240" s="92">
        <f t="shared" si="52"/>
        <v>0</v>
      </c>
      <c r="F240" s="3">
        <f t="shared" si="53"/>
        <v>-18.938725442516692</v>
      </c>
      <c r="G240" s="4">
        <f t="shared" si="46"/>
        <v>-29.024316501280808</v>
      </c>
      <c r="I240" s="25">
        <f t="shared" si="47"/>
        <v>-18.940640264190733</v>
      </c>
      <c r="J240">
        <f t="shared" si="48"/>
        <v>-1.9148216740418889E-3</v>
      </c>
      <c r="K240" s="4">
        <f t="shared" si="49"/>
        <v>-14.447478873432845</v>
      </c>
      <c r="M240" s="3">
        <f t="shared" si="54"/>
        <v>131.10000000000048</v>
      </c>
      <c r="N240">
        <f t="shared" si="55"/>
        <v>6.89999999999967</v>
      </c>
      <c r="O240">
        <f t="shared" si="56"/>
        <v>-18.939001546019796</v>
      </c>
      <c r="P240">
        <f t="shared" si="50"/>
        <v>-29.021035779559011</v>
      </c>
      <c r="Q240">
        <f t="shared" si="57"/>
        <v>-0.27610350310425247</v>
      </c>
      <c r="R240">
        <f t="shared" si="58"/>
        <v>3.280721721797164</v>
      </c>
      <c r="S240" s="4">
        <f t="shared" si="59"/>
        <v>515.0276362419462</v>
      </c>
    </row>
    <row r="241" spans="1:19" x14ac:dyDescent="0.5">
      <c r="A241" s="3"/>
      <c r="C241">
        <f t="shared" si="51"/>
        <v>7.5899999999996695</v>
      </c>
      <c r="D241" s="23">
        <f t="shared" si="45"/>
        <v>5.6573626123356147E-2</v>
      </c>
      <c r="E241" s="92">
        <f t="shared" si="52"/>
        <v>0</v>
      </c>
      <c r="F241" s="3">
        <f t="shared" si="53"/>
        <v>-18.918698664125184</v>
      </c>
      <c r="G241" s="4">
        <f t="shared" si="46"/>
        <v>-30.363847118679846</v>
      </c>
      <c r="I241" s="25">
        <f t="shared" si="47"/>
        <v>-18.930671503767371</v>
      </c>
      <c r="J241">
        <f t="shared" si="48"/>
        <v>-1.1972839642186983E-2</v>
      </c>
      <c r="K241" s="4">
        <f t="shared" si="49"/>
        <v>-15.823457361754468</v>
      </c>
      <c r="M241" s="3">
        <f t="shared" si="54"/>
        <v>130.41000000000048</v>
      </c>
      <c r="N241">
        <f t="shared" si="55"/>
        <v>7.5899999999996695</v>
      </c>
      <c r="O241">
        <f t="shared" si="56"/>
        <v>-18.918977031326278</v>
      </c>
      <c r="P241">
        <f t="shared" si="50"/>
        <v>-30.360769711187984</v>
      </c>
      <c r="Q241">
        <f t="shared" si="57"/>
        <v>-0.27836720109419844</v>
      </c>
      <c r="R241">
        <f t="shared" si="58"/>
        <v>3.0774074918618055</v>
      </c>
      <c r="S241" s="4">
        <f t="shared" si="59"/>
        <v>515.84036708843541</v>
      </c>
    </row>
    <row r="242" spans="1:19" x14ac:dyDescent="0.5">
      <c r="A242" s="3"/>
      <c r="C242">
        <f t="shared" si="51"/>
        <v>8.279999999999669</v>
      </c>
      <c r="D242" s="23">
        <f t="shared" si="45"/>
        <v>6.7291755302140752E-2</v>
      </c>
      <c r="E242" s="92">
        <f t="shared" si="52"/>
        <v>0</v>
      </c>
      <c r="F242" s="3">
        <f t="shared" si="53"/>
        <v>-18.897747609606856</v>
      </c>
      <c r="G242" s="4">
        <f t="shared" si="46"/>
        <v>-31.701264579322054</v>
      </c>
      <c r="I242" s="25">
        <f t="shared" si="47"/>
        <v>-18.919753318186849</v>
      </c>
      <c r="J242">
        <f t="shared" si="48"/>
        <v>-2.2005708579992955E-2</v>
      </c>
      <c r="K242" s="4">
        <f t="shared" si="49"/>
        <v>-17.199351491087342</v>
      </c>
      <c r="M242" s="3">
        <f t="shared" si="54"/>
        <v>129.72000000000048</v>
      </c>
      <c r="N242">
        <f t="shared" si="55"/>
        <v>8.279999999999669</v>
      </c>
      <c r="O242">
        <f t="shared" si="56"/>
        <v>-18.898028100219122</v>
      </c>
      <c r="P242">
        <f t="shared" si="50"/>
        <v>-31.698392828770999</v>
      </c>
      <c r="Q242">
        <f t="shared" si="57"/>
        <v>-0.28049061226553818</v>
      </c>
      <c r="R242">
        <f t="shared" si="58"/>
        <v>2.8717505510549302</v>
      </c>
      <c r="S242" s="4">
        <f t="shared" si="59"/>
        <v>516.65352675127679</v>
      </c>
    </row>
    <row r="243" spans="1:19" x14ac:dyDescent="0.5">
      <c r="A243" s="3"/>
      <c r="C243">
        <f t="shared" si="51"/>
        <v>8.9699999999996685</v>
      </c>
      <c r="D243" s="23">
        <f t="shared" si="45"/>
        <v>7.8932702529656826E-2</v>
      </c>
      <c r="E243" s="92">
        <f t="shared" si="52"/>
        <v>0</v>
      </c>
      <c r="F243" s="3">
        <f t="shared" si="53"/>
        <v>-18.875873737039797</v>
      </c>
      <c r="G243" s="4">
        <f t="shared" si="46"/>
        <v>-33.036574486131279</v>
      </c>
      <c r="I243" s="25">
        <f t="shared" si="47"/>
        <v>-18.907885765656829</v>
      </c>
      <c r="J243">
        <f t="shared" si="48"/>
        <v>-3.2012028617032229E-2</v>
      </c>
      <c r="K243" s="4">
        <f t="shared" si="49"/>
        <v>-18.575329979283921</v>
      </c>
      <c r="M243" s="3">
        <f t="shared" si="54"/>
        <v>129.03000000000048</v>
      </c>
      <c r="N243">
        <f t="shared" si="55"/>
        <v>8.9699999999996685</v>
      </c>
      <c r="O243">
        <f t="shared" si="56"/>
        <v>-18.876156209159944</v>
      </c>
      <c r="P243">
        <f t="shared" si="50"/>
        <v>-33.033910664754288</v>
      </c>
      <c r="Q243">
        <f t="shared" si="57"/>
        <v>-0.28247212014775869</v>
      </c>
      <c r="R243">
        <f t="shared" si="58"/>
        <v>2.6638213769913932</v>
      </c>
      <c r="S243" s="4">
        <f t="shared" si="59"/>
        <v>517.46711812982062</v>
      </c>
    </row>
    <row r="244" spans="1:19" x14ac:dyDescent="0.5">
      <c r="A244" s="3"/>
      <c r="C244">
        <f t="shared" si="51"/>
        <v>9.659999999999668</v>
      </c>
      <c r="D244" s="23">
        <f t="shared" si="45"/>
        <v>9.1495013593836744E-2</v>
      </c>
      <c r="E244" s="92">
        <f t="shared" si="52"/>
        <v>0</v>
      </c>
      <c r="F244" s="3">
        <f t="shared" si="53"/>
        <v>-18.853078500636073</v>
      </c>
      <c r="G244" s="4">
        <f t="shared" si="46"/>
        <v>-34.369782421245453</v>
      </c>
      <c r="I244" s="25">
        <f t="shared" si="47"/>
        <v>-18.895068787969649</v>
      </c>
      <c r="J244">
        <f t="shared" si="48"/>
        <v>-4.1990287333575793E-2</v>
      </c>
      <c r="K244" s="4">
        <f t="shared" si="49"/>
        <v>-19.951308467410165</v>
      </c>
      <c r="M244" s="3">
        <f t="shared" si="54"/>
        <v>128.34000000000049</v>
      </c>
      <c r="N244">
        <f t="shared" si="55"/>
        <v>9.659999999999668</v>
      </c>
      <c r="O244">
        <f t="shared" si="56"/>
        <v>-18.853362810792973</v>
      </c>
      <c r="P244">
        <f t="shared" si="50"/>
        <v>-34.367328723265388</v>
      </c>
      <c r="Q244">
        <f t="shared" si="57"/>
        <v>-0.28431015689989181</v>
      </c>
      <c r="R244">
        <f t="shared" si="58"/>
        <v>2.4536979800657832</v>
      </c>
      <c r="S244" s="4">
        <f t="shared" si="59"/>
        <v>518.28115121575149</v>
      </c>
    </row>
    <row r="245" spans="1:19" x14ac:dyDescent="0.5">
      <c r="A245" s="3"/>
      <c r="C245">
        <f t="shared" si="51"/>
        <v>10.349999999999667</v>
      </c>
      <c r="D245" s="23">
        <f t="shared" si="45"/>
        <v>0.10497723813428607</v>
      </c>
      <c r="E245" s="92">
        <f t="shared" si="52"/>
        <v>0</v>
      </c>
      <c r="F245" s="3">
        <f t="shared" si="53"/>
        <v>-18.829363350756076</v>
      </c>
      <c r="G245" s="4">
        <f t="shared" si="46"/>
        <v>-35.700893946073244</v>
      </c>
      <c r="I245" s="25">
        <f t="shared" si="47"/>
        <v>-18.881302385125309</v>
      </c>
      <c r="J245">
        <f t="shared" si="48"/>
        <v>-5.1939034369233639E-2</v>
      </c>
      <c r="K245" s="4">
        <f t="shared" si="49"/>
        <v>-21.327202596532043</v>
      </c>
      <c r="M245" s="3">
        <f t="shared" si="54"/>
        <v>127.65000000000049</v>
      </c>
      <c r="N245">
        <f t="shared" si="55"/>
        <v>10.349999999999667</v>
      </c>
      <c r="O245">
        <f t="shared" si="56"/>
        <v>-18.829649353964584</v>
      </c>
      <c r="P245">
        <f t="shared" si="50"/>
        <v>-35.698652462092163</v>
      </c>
      <c r="Q245">
        <f t="shared" si="57"/>
        <v>-0.28600320850813432</v>
      </c>
      <c r="R245">
        <f t="shared" si="58"/>
        <v>2.2414839810807052</v>
      </c>
      <c r="S245" s="4">
        <f t="shared" si="59"/>
        <v>519.09560801601879</v>
      </c>
    </row>
    <row r="246" spans="1:19" x14ac:dyDescent="0.5">
      <c r="A246" s="3"/>
      <c r="C246">
        <f t="shared" si="51"/>
        <v>11.039999999999667</v>
      </c>
      <c r="D246" s="23">
        <f t="shared" si="45"/>
        <v>0.11937792962799872</v>
      </c>
      <c r="E246" s="92">
        <f t="shared" si="52"/>
        <v>0</v>
      </c>
      <c r="F246" s="3">
        <f t="shared" si="53"/>
        <v>-18.804729733922819</v>
      </c>
      <c r="G246" s="4">
        <f t="shared" si="46"/>
        <v>-37.029914601458792</v>
      </c>
      <c r="I246" s="25">
        <f t="shared" si="47"/>
        <v>-18.866586615331471</v>
      </c>
      <c r="J246">
        <f t="shared" si="48"/>
        <v>-6.1856881408651532E-2</v>
      </c>
      <c r="K246" s="4">
        <f t="shared" si="49"/>
        <v>-22.703181084501985</v>
      </c>
      <c r="M246" s="3">
        <f t="shared" si="54"/>
        <v>126.96000000000049</v>
      </c>
      <c r="N246">
        <f t="shared" si="55"/>
        <v>11.039999999999667</v>
      </c>
      <c r="O246">
        <f t="shared" si="56"/>
        <v>-18.805017283755276</v>
      </c>
      <c r="P246">
        <f t="shared" si="50"/>
        <v>-37.027887364766791</v>
      </c>
      <c r="Q246">
        <f t="shared" si="57"/>
        <v>-0.2875498324570458</v>
      </c>
      <c r="R246">
        <f t="shared" si="58"/>
        <v>2.0272366920011109</v>
      </c>
      <c r="S246" s="4">
        <f t="shared" si="59"/>
        <v>519.91050665755756</v>
      </c>
    </row>
    <row r="247" spans="1:19" x14ac:dyDescent="0.5">
      <c r="A247" s="3"/>
      <c r="C247">
        <f t="shared" si="51"/>
        <v>11.729999999999666</v>
      </c>
      <c r="D247" s="23">
        <f t="shared" si="45"/>
        <v>0.13469564537513978</v>
      </c>
      <c r="E247" s="92">
        <f t="shared" si="52"/>
        <v>0</v>
      </c>
      <c r="F247" s="3">
        <f t="shared" si="53"/>
        <v>-18.779179092836134</v>
      </c>
      <c r="G247" s="4">
        <f t="shared" si="46"/>
        <v>-38.35684990771265</v>
      </c>
      <c r="I247" s="25">
        <f t="shared" si="47"/>
        <v>-18.850921420380473</v>
      </c>
      <c r="J247">
        <f t="shared" si="48"/>
        <v>-7.1742327544338735E-2</v>
      </c>
      <c r="K247" s="4">
        <f t="shared" si="49"/>
        <v>-24.079159572385954</v>
      </c>
      <c r="M247" s="3">
        <f t="shared" si="54"/>
        <v>126.27000000000049</v>
      </c>
      <c r="N247">
        <f t="shared" si="55"/>
        <v>11.729999999999666</v>
      </c>
      <c r="O247">
        <f t="shared" si="56"/>
        <v>-18.779468041461911</v>
      </c>
      <c r="P247">
        <f t="shared" si="50"/>
        <v>-38.355038847886313</v>
      </c>
      <c r="Q247">
        <f t="shared" si="57"/>
        <v>-0.28894862577644176</v>
      </c>
      <c r="R247">
        <f t="shared" si="58"/>
        <v>1.8110598263376687</v>
      </c>
      <c r="S247" s="4">
        <f t="shared" si="59"/>
        <v>520.72583720771888</v>
      </c>
    </row>
    <row r="248" spans="1:19" x14ac:dyDescent="0.5">
      <c r="A248" s="3"/>
      <c r="C248">
        <f t="shared" si="51"/>
        <v>12.419999999999666</v>
      </c>
      <c r="D248" s="23">
        <f t="shared" si="45"/>
        <v>0.15092894648489658</v>
      </c>
      <c r="E248" s="92">
        <f t="shared" si="52"/>
        <v>0</v>
      </c>
      <c r="F248" s="3">
        <f t="shared" si="53"/>
        <v>-18.752712866386833</v>
      </c>
      <c r="G248" s="4">
        <f t="shared" si="46"/>
        <v>-39.681705364750776</v>
      </c>
      <c r="I248" s="25">
        <f t="shared" si="47"/>
        <v>-18.834306800272316</v>
      </c>
      <c r="J248">
        <f t="shared" si="48"/>
        <v>-8.1593933885482528E-2</v>
      </c>
      <c r="K248" s="4">
        <f t="shared" si="49"/>
        <v>-25.455053701249948</v>
      </c>
      <c r="M248" s="3">
        <f t="shared" si="54"/>
        <v>125.5800000000005</v>
      </c>
      <c r="N248">
        <f t="shared" si="55"/>
        <v>12.419999999999666</v>
      </c>
      <c r="O248">
        <f t="shared" si="56"/>
        <v>-18.753003064643892</v>
      </c>
      <c r="P248">
        <f t="shared" si="50"/>
        <v>-39.680112333196696</v>
      </c>
      <c r="Q248">
        <f t="shared" si="57"/>
        <v>-0.29019825705844937</v>
      </c>
      <c r="R248">
        <f t="shared" si="58"/>
        <v>1.5930315540799711</v>
      </c>
      <c r="S248" s="4">
        <f t="shared" si="59"/>
        <v>521.54160385625005</v>
      </c>
    </row>
    <row r="249" spans="1:19" x14ac:dyDescent="0.5">
      <c r="A249" s="3"/>
      <c r="C249">
        <f t="shared" si="51"/>
        <v>13.109999999999665</v>
      </c>
      <c r="D249" s="23">
        <f t="shared" si="45"/>
        <v>0.16807639786139647</v>
      </c>
      <c r="E249" s="92">
        <f t="shared" si="52"/>
        <v>0</v>
      </c>
      <c r="F249" s="3">
        <f t="shared" si="53"/>
        <v>-18.725332489670784</v>
      </c>
      <c r="G249" s="4">
        <f t="shared" si="46"/>
        <v>-41.004486452146004</v>
      </c>
      <c r="I249" s="25">
        <f t="shared" si="47"/>
        <v>-18.81674281321466</v>
      </c>
      <c r="J249">
        <f t="shared" si="48"/>
        <v>-9.1410323543875904E-2</v>
      </c>
      <c r="K249" s="4">
        <f t="shared" si="49"/>
        <v>-26.831032188946359</v>
      </c>
      <c r="M249" s="3">
        <f t="shared" si="54"/>
        <v>124.8900000000005</v>
      </c>
      <c r="N249">
        <f t="shared" si="55"/>
        <v>13.109999999999665</v>
      </c>
      <c r="O249">
        <f t="shared" si="56"/>
        <v>-18.725623787119616</v>
      </c>
      <c r="P249">
        <f t="shared" si="50"/>
        <v>-41.003113211550748</v>
      </c>
      <c r="Q249">
        <f t="shared" si="57"/>
        <v>-0.29129744883249487</v>
      </c>
      <c r="R249">
        <f t="shared" si="58"/>
        <v>1.3732405952566751</v>
      </c>
      <c r="S249" s="4">
        <f t="shared" si="59"/>
        <v>522.35779866824419</v>
      </c>
    </row>
    <row r="250" spans="1:19" x14ac:dyDescent="0.5">
      <c r="A250" s="3"/>
      <c r="C250">
        <f t="shared" si="51"/>
        <v>13.799999999999665</v>
      </c>
      <c r="D250" s="23">
        <f t="shared" si="45"/>
        <v>0.18613656818969193</v>
      </c>
      <c r="E250" s="92">
        <f t="shared" si="52"/>
        <v>0</v>
      </c>
      <c r="F250" s="3">
        <f t="shared" si="53"/>
        <v>-18.697039394002946</v>
      </c>
      <c r="G250" s="4">
        <f t="shared" si="46"/>
        <v>-42.325198629313427</v>
      </c>
      <c r="I250" s="25">
        <f t="shared" si="47"/>
        <v>-18.798229400999844</v>
      </c>
      <c r="J250">
        <f t="shared" si="48"/>
        <v>-0.10119000699689806</v>
      </c>
      <c r="K250" s="4">
        <f t="shared" si="49"/>
        <v>-28.206926317612382</v>
      </c>
      <c r="M250" s="3">
        <f t="shared" si="54"/>
        <v>124.2000000000005</v>
      </c>
      <c r="N250">
        <f t="shared" si="55"/>
        <v>13.799999999999665</v>
      </c>
      <c r="O250">
        <f t="shared" si="56"/>
        <v>-18.697331638987791</v>
      </c>
      <c r="P250">
        <f t="shared" si="50"/>
        <v>-42.324046873801336</v>
      </c>
      <c r="Q250">
        <f t="shared" si="57"/>
        <v>-0.29224498484481387</v>
      </c>
      <c r="R250">
        <f t="shared" si="58"/>
        <v>1.1517555120903467</v>
      </c>
      <c r="S250" s="4">
        <f t="shared" si="59"/>
        <v>523.17444122179575</v>
      </c>
    </row>
    <row r="251" spans="1:19" x14ac:dyDescent="0.5">
      <c r="A251" s="3"/>
      <c r="C251">
        <f t="shared" si="51"/>
        <v>14.489999999999664</v>
      </c>
      <c r="D251" s="23">
        <f t="shared" si="45"/>
        <v>0.20510802992181199</v>
      </c>
      <c r="E251" s="92">
        <f t="shared" si="52"/>
        <v>0</v>
      </c>
      <c r="F251" s="3">
        <f t="shared" si="53"/>
        <v>-18.667835006931281</v>
      </c>
      <c r="G251" s="4">
        <f t="shared" si="46"/>
        <v>-43.643847335489795</v>
      </c>
      <c r="I251" s="25">
        <f t="shared" si="47"/>
        <v>-18.77876662183553</v>
      </c>
      <c r="J251">
        <f t="shared" si="48"/>
        <v>-0.11093161490424919</v>
      </c>
      <c r="K251" s="4">
        <f t="shared" si="49"/>
        <v>-29.582904805100391</v>
      </c>
      <c r="M251" s="3">
        <f t="shared" si="54"/>
        <v>123.5100000000005</v>
      </c>
      <c r="N251">
        <f t="shared" si="55"/>
        <v>14.489999999999664</v>
      </c>
      <c r="O251">
        <f t="shared" si="56"/>
        <v>-18.66812804662743</v>
      </c>
      <c r="P251">
        <f t="shared" si="50"/>
        <v>-43.64291864129175</v>
      </c>
      <c r="Q251">
        <f t="shared" si="57"/>
        <v>-0.29303969614957737</v>
      </c>
      <c r="R251">
        <f t="shared" si="58"/>
        <v>0.92869419804486597</v>
      </c>
      <c r="S251" s="4">
        <f t="shared" si="59"/>
        <v>523.991510402259</v>
      </c>
    </row>
    <row r="252" spans="1:19" x14ac:dyDescent="0.5">
      <c r="A252" s="3"/>
      <c r="C252">
        <f t="shared" si="51"/>
        <v>15.179999999999664</v>
      </c>
      <c r="D252" s="23">
        <f t="shared" si="45"/>
        <v>0.22498935926287966</v>
      </c>
      <c r="E252" s="92">
        <f t="shared" si="52"/>
        <v>0</v>
      </c>
      <c r="F252" s="3">
        <f t="shared" si="53"/>
        <v>-18.637720752250672</v>
      </c>
      <c r="G252" s="4">
        <f t="shared" si="46"/>
        <v>-44.960437989939464</v>
      </c>
      <c r="I252" s="25">
        <f t="shared" si="47"/>
        <v>-18.758354417514056</v>
      </c>
      <c r="J252">
        <f t="shared" si="48"/>
        <v>-0.1206336652633837</v>
      </c>
      <c r="K252" s="4">
        <f t="shared" si="49"/>
        <v>-30.958883292476383</v>
      </c>
      <c r="M252" s="3">
        <f t="shared" si="54"/>
        <v>122.8200000000005</v>
      </c>
      <c r="N252">
        <f t="shared" si="55"/>
        <v>15.179999999999664</v>
      </c>
      <c r="O252">
        <f t="shared" si="56"/>
        <v>-18.63801443274582</v>
      </c>
      <c r="P252">
        <f t="shared" si="50"/>
        <v>-44.959733868832934</v>
      </c>
      <c r="Q252">
        <f t="shared" si="57"/>
        <v>-0.29368049514744143</v>
      </c>
      <c r="R252">
        <f t="shared" si="58"/>
        <v>0.70412110652995352</v>
      </c>
      <c r="S252" s="4">
        <f t="shared" si="59"/>
        <v>524.80902083600813</v>
      </c>
    </row>
    <row r="253" spans="1:19" x14ac:dyDescent="0.5">
      <c r="A253" s="3"/>
      <c r="C253">
        <f t="shared" si="51"/>
        <v>15.869999999999663</v>
      </c>
      <c r="D253" s="23">
        <f t="shared" si="45"/>
        <v>0.24577913615729569</v>
      </c>
      <c r="E253" s="92">
        <f t="shared" si="52"/>
        <v>0</v>
      </c>
      <c r="F253" s="3">
        <f t="shared" si="53"/>
        <v>-18.606698050016711</v>
      </c>
      <c r="G253" s="4">
        <f t="shared" si="46"/>
        <v>-46.274975991954413</v>
      </c>
      <c r="I253" s="25">
        <f t="shared" si="47"/>
        <v>-18.736992788035423</v>
      </c>
      <c r="J253">
        <f t="shared" si="48"/>
        <v>-0.13029473801871205</v>
      </c>
      <c r="K253" s="4">
        <f t="shared" si="49"/>
        <v>-32.334861779735142</v>
      </c>
      <c r="M253" s="3">
        <f t="shared" si="54"/>
        <v>122.13000000000051</v>
      </c>
      <c r="N253">
        <f t="shared" si="55"/>
        <v>15.869999999999663</v>
      </c>
      <c r="O253">
        <f t="shared" si="56"/>
        <v>-18.606992216355422</v>
      </c>
      <c r="P253">
        <f t="shared" si="50"/>
        <v>-46.274497854598359</v>
      </c>
      <c r="Q253">
        <f t="shared" si="57"/>
        <v>-0.29416633871193199</v>
      </c>
      <c r="R253">
        <f t="shared" si="58"/>
        <v>0.47813735605473084</v>
      </c>
      <c r="S253" s="4">
        <f t="shared" si="59"/>
        <v>525.62696469301397</v>
      </c>
    </row>
    <row r="254" spans="1:19" x14ac:dyDescent="0.5">
      <c r="A254" s="3"/>
      <c r="C254">
        <f t="shared" si="51"/>
        <v>16.559999999999665</v>
      </c>
      <c r="D254" s="23">
        <f t="shared" si="45"/>
        <v>0.26747594427498661</v>
      </c>
      <c r="E254" s="92">
        <f t="shared" si="52"/>
        <v>0</v>
      </c>
      <c r="F254" s="3">
        <f t="shared" si="53"/>
        <v>-18.574768316559471</v>
      </c>
      <c r="G254" s="4">
        <f t="shared" si="46"/>
        <v>-47.587466720998378</v>
      </c>
      <c r="I254" s="25">
        <f t="shared" si="47"/>
        <v>-18.71468173339963</v>
      </c>
      <c r="J254">
        <f t="shared" si="48"/>
        <v>-0.13991341684015879</v>
      </c>
      <c r="K254" s="4">
        <f t="shared" si="49"/>
        <v>-33.710755907942698</v>
      </c>
      <c r="M254" s="3">
        <f t="shared" si="54"/>
        <v>121.44000000000051</v>
      </c>
      <c r="N254">
        <f t="shared" si="55"/>
        <v>16.559999999999665</v>
      </c>
      <c r="O254">
        <f t="shared" si="56"/>
        <v>-18.575062812812959</v>
      </c>
      <c r="P254">
        <f t="shared" si="50"/>
        <v>-47.587215896761563</v>
      </c>
      <c r="Q254">
        <f t="shared" si="57"/>
        <v>-0.29449625348831887</v>
      </c>
      <c r="R254">
        <f t="shared" si="58"/>
        <v>0.25082423681510591</v>
      </c>
      <c r="S254" s="4">
        <f t="shared" si="59"/>
        <v>526.44534545825877</v>
      </c>
    </row>
    <row r="255" spans="1:19" x14ac:dyDescent="0.5">
      <c r="A255" s="3"/>
      <c r="C255">
        <f t="shared" si="51"/>
        <v>17.249999999999666</v>
      </c>
      <c r="D255" s="23">
        <f t="shared" si="45"/>
        <v>0.29007837099771877</v>
      </c>
      <c r="E255" s="92">
        <f t="shared" si="52"/>
        <v>0</v>
      </c>
      <c r="F255" s="3">
        <f t="shared" si="53"/>
        <v>-18.541932964497196</v>
      </c>
      <c r="G255" s="4">
        <f t="shared" si="46"/>
        <v>-48.897915536825323</v>
      </c>
      <c r="I255" s="25">
        <f t="shared" si="47"/>
        <v>-18.691421311814338</v>
      </c>
      <c r="J255">
        <f t="shared" si="48"/>
        <v>-0.149488347317142</v>
      </c>
      <c r="K255" s="4">
        <f t="shared" si="49"/>
        <v>-35.086734394951378</v>
      </c>
      <c r="M255" s="3">
        <f t="shared" si="54"/>
        <v>120.75000000000051</v>
      </c>
      <c r="N255">
        <f t="shared" si="55"/>
        <v>17.249999999999666</v>
      </c>
      <c r="O255">
        <f t="shared" si="56"/>
        <v>-18.542227633819408</v>
      </c>
      <c r="P255">
        <f t="shared" si="50"/>
        <v>-48.897893265177409</v>
      </c>
      <c r="Q255">
        <f t="shared" si="57"/>
        <v>-0.2946693222121155</v>
      </c>
      <c r="R255">
        <f t="shared" si="58"/>
        <v>2.2271647914351433E-2</v>
      </c>
      <c r="S255" s="4">
        <f t="shared" si="59"/>
        <v>527.26416669877733</v>
      </c>
    </row>
    <row r="256" spans="1:19" x14ac:dyDescent="0.5">
      <c r="A256" s="3"/>
      <c r="C256">
        <f t="shared" si="51"/>
        <v>17.939999999999667</v>
      </c>
      <c r="D256" s="23">
        <f t="shared" si="45"/>
        <v>0.31358500740547646</v>
      </c>
      <c r="E256" s="92">
        <f t="shared" si="52"/>
        <v>0</v>
      </c>
      <c r="F256" s="3">
        <f t="shared" si="53"/>
        <v>-18.508193402749896</v>
      </c>
      <c r="G256" s="4">
        <f t="shared" si="46"/>
        <v>-50.206327779515426</v>
      </c>
      <c r="I256" s="25">
        <f t="shared" si="47"/>
        <v>-18.667211465071887</v>
      </c>
      <c r="J256">
        <f t="shared" si="48"/>
        <v>-0.15901806232199078</v>
      </c>
      <c r="K256" s="4">
        <f t="shared" si="49"/>
        <v>-36.462712881827187</v>
      </c>
      <c r="M256" s="3">
        <f t="shared" si="54"/>
        <v>120.06000000000051</v>
      </c>
      <c r="N256">
        <f t="shared" si="55"/>
        <v>17.939999999999667</v>
      </c>
      <c r="O256">
        <f t="shared" si="56"/>
        <v>-18.508488087439545</v>
      </c>
      <c r="P256">
        <f t="shared" si="50"/>
        <v>-50.206535201382025</v>
      </c>
      <c r="Q256">
        <f t="shared" si="57"/>
        <v>-0.29468468964921612</v>
      </c>
      <c r="R256">
        <f t="shared" si="58"/>
        <v>-0.20742186659816753</v>
      </c>
      <c r="S256" s="4">
        <f t="shared" si="59"/>
        <v>528.08342582126738</v>
      </c>
    </row>
    <row r="257" spans="1:19" x14ac:dyDescent="0.5">
      <c r="A257" s="3"/>
      <c r="C257">
        <f t="shared" si="51"/>
        <v>18.629999999999669</v>
      </c>
      <c r="D257" s="23">
        <f t="shared" si="45"/>
        <v>0.33799444826290453</v>
      </c>
      <c r="E257" s="92">
        <f t="shared" si="52"/>
        <v>0</v>
      </c>
      <c r="F257" s="3">
        <f t="shared" si="53"/>
        <v>-18.473551036552923</v>
      </c>
      <c r="G257" s="4">
        <f t="shared" si="46"/>
        <v>-51.512708769593537</v>
      </c>
      <c r="I257" s="25">
        <f t="shared" si="47"/>
        <v>-18.642052193172276</v>
      </c>
      <c r="J257">
        <f t="shared" si="48"/>
        <v>-0.16850115661935305</v>
      </c>
      <c r="K257" s="4">
        <f t="shared" si="49"/>
        <v>-37.838607009636192</v>
      </c>
      <c r="M257" s="3">
        <f t="shared" si="54"/>
        <v>119.37000000000052</v>
      </c>
      <c r="N257">
        <f t="shared" si="55"/>
        <v>18.629999999999669</v>
      </c>
      <c r="O257">
        <f t="shared" si="56"/>
        <v>-18.473845578121484</v>
      </c>
      <c r="P257">
        <f t="shared" si="50"/>
        <v>-51.513146934039462</v>
      </c>
      <c r="Q257">
        <f t="shared" si="57"/>
        <v>-0.29454156856090208</v>
      </c>
      <c r="R257">
        <f t="shared" si="58"/>
        <v>-0.43816444592437165</v>
      </c>
      <c r="S257" s="4">
        <f t="shared" si="59"/>
        <v>528.90311606320222</v>
      </c>
    </row>
    <row r="258" spans="1:19" x14ac:dyDescent="0.5">
      <c r="A258" s="3"/>
      <c r="C258">
        <f t="shared" si="51"/>
        <v>19.31999999999967</v>
      </c>
      <c r="D258" s="23">
        <f t="shared" si="45"/>
        <v>0.36330529200581452</v>
      </c>
      <c r="E258" s="92">
        <f t="shared" si="52"/>
        <v>0</v>
      </c>
      <c r="F258" s="3">
        <f t="shared" si="53"/>
        <v>-18.438007267470464</v>
      </c>
      <c r="G258" s="4">
        <f t="shared" si="46"/>
        <v>-52.817063808106433</v>
      </c>
      <c r="I258" s="25">
        <f t="shared" si="47"/>
        <v>-18.615943554323167</v>
      </c>
      <c r="J258">
        <f t="shared" si="48"/>
        <v>-0.17793628685270235</v>
      </c>
      <c r="K258" s="4">
        <f t="shared" si="49"/>
        <v>-39.214501137301937</v>
      </c>
      <c r="M258" s="3">
        <f t="shared" si="54"/>
        <v>118.68000000000052</v>
      </c>
      <c r="N258">
        <f t="shared" si="55"/>
        <v>19.31999999999967</v>
      </c>
      <c r="O258">
        <f t="shared" si="56"/>
        <v>-18.438301506705557</v>
      </c>
      <c r="P258">
        <f t="shared" si="50"/>
        <v>-52.817733689239347</v>
      </c>
      <c r="Q258">
        <f t="shared" si="57"/>
        <v>-0.29423923509241945</v>
      </c>
      <c r="R258">
        <f t="shared" si="58"/>
        <v>-0.66988113291444051</v>
      </c>
      <c r="S258" s="4">
        <f t="shared" si="59"/>
        <v>529.72325679002017</v>
      </c>
    </row>
    <row r="259" spans="1:19" x14ac:dyDescent="0.5">
      <c r="A259" s="3"/>
      <c r="C259">
        <f t="shared" si="51"/>
        <v>20.009999999999671</v>
      </c>
      <c r="D259" s="23">
        <f t="shared" si="45"/>
        <v>0.38951614072775492</v>
      </c>
      <c r="E259" s="92">
        <f t="shared" si="52"/>
        <v>0</v>
      </c>
      <c r="F259" s="3">
        <f t="shared" si="53"/>
        <v>-18.401563493408982</v>
      </c>
      <c r="G259" s="4">
        <f t="shared" si="46"/>
        <v>-54.119398176777224</v>
      </c>
      <c r="I259" s="25">
        <f t="shared" si="47"/>
        <v>-18.588885548524559</v>
      </c>
      <c r="J259">
        <f t="shared" si="48"/>
        <v>-0.18732205511557609</v>
      </c>
      <c r="K259" s="4">
        <f t="shared" si="49"/>
        <v>-40.590563982676649</v>
      </c>
      <c r="M259" s="3">
        <f t="shared" si="54"/>
        <v>117.99000000000052</v>
      </c>
      <c r="N259">
        <f t="shared" si="55"/>
        <v>20.009999999999671</v>
      </c>
      <c r="O259">
        <f t="shared" si="56"/>
        <v>-18.401857270426092</v>
      </c>
      <c r="P259">
        <f t="shared" si="50"/>
        <v>-54.120300626136199</v>
      </c>
      <c r="Q259">
        <f t="shared" si="57"/>
        <v>-0.29377701710942006</v>
      </c>
      <c r="R259">
        <f t="shared" si="58"/>
        <v>-0.90244935897487721</v>
      </c>
      <c r="S259" s="4">
        <f t="shared" si="59"/>
        <v>530.54382353706194</v>
      </c>
    </row>
    <row r="260" spans="1:19" x14ac:dyDescent="0.5">
      <c r="A260" s="3"/>
      <c r="C260">
        <f t="shared" si="51"/>
        <v>20.699999999999672</v>
      </c>
      <c r="D260" s="23">
        <f t="shared" si="45"/>
        <v>0.41662560016664335</v>
      </c>
      <c r="E260" s="92">
        <f t="shared" si="52"/>
        <v>0</v>
      </c>
      <c r="F260" s="3">
        <f t="shared" si="53"/>
        <v>-18.364221108630549</v>
      </c>
      <c r="G260" s="4">
        <f t="shared" si="46"/>
        <v>-55.419717137989942</v>
      </c>
      <c r="I260" s="25">
        <f t="shared" si="47"/>
        <v>-18.56087805936113</v>
      </c>
      <c r="J260">
        <f t="shared" si="48"/>
        <v>-0.19665695073058131</v>
      </c>
      <c r="K260" s="4">
        <f t="shared" si="49"/>
        <v>-41.966458110040215</v>
      </c>
      <c r="M260" s="3">
        <f t="shared" si="54"/>
        <v>117.30000000000052</v>
      </c>
      <c r="N260">
        <f t="shared" si="55"/>
        <v>20.699999999999672</v>
      </c>
      <c r="O260">
        <f t="shared" si="56"/>
        <v>-18.364514262957599</v>
      </c>
      <c r="P260">
        <f t="shared" si="50"/>
        <v>-55.42085294507541</v>
      </c>
      <c r="Q260">
        <f t="shared" si="57"/>
        <v>-0.29315432704990485</v>
      </c>
      <c r="R260">
        <f t="shared" si="58"/>
        <v>-1.1358070854683433</v>
      </c>
      <c r="S260" s="4">
        <f t="shared" si="59"/>
        <v>531.3648368720219</v>
      </c>
    </row>
    <row r="261" spans="1:19" x14ac:dyDescent="0.5">
      <c r="A261" s="3"/>
      <c r="C261">
        <f t="shared" si="51"/>
        <v>21.389999999999674</v>
      </c>
      <c r="D261" s="23">
        <f t="shared" si="45"/>
        <v>0.44463227969146324</v>
      </c>
      <c r="E261" s="92">
        <f t="shared" si="52"/>
        <v>0</v>
      </c>
      <c r="F261" s="3">
        <f t="shared" si="53"/>
        <v>-18.325981503766187</v>
      </c>
      <c r="G261" s="4">
        <f t="shared" si="46"/>
        <v>-56.718025934990351</v>
      </c>
      <c r="I261" s="25">
        <f t="shared" si="47"/>
        <v>-18.531921203248203</v>
      </c>
      <c r="J261">
        <f t="shared" si="48"/>
        <v>-0.20593969948201618</v>
      </c>
      <c r="K261" s="4">
        <f t="shared" si="49"/>
        <v>-43.342436596173592</v>
      </c>
      <c r="M261" s="3">
        <f t="shared" si="54"/>
        <v>116.61000000000053</v>
      </c>
      <c r="N261">
        <f t="shared" si="55"/>
        <v>21.389999999999674</v>
      </c>
      <c r="O261">
        <f t="shared" si="56"/>
        <v>-18.326273874386345</v>
      </c>
      <c r="P261">
        <f t="shared" si="50"/>
        <v>-56.719395776892839</v>
      </c>
      <c r="Q261">
        <f t="shared" si="57"/>
        <v>-0.29237062015852189</v>
      </c>
      <c r="R261">
        <f t="shared" si="58"/>
        <v>-1.3698419024876785</v>
      </c>
      <c r="S261" s="4">
        <f t="shared" si="59"/>
        <v>532.18628806759318</v>
      </c>
    </row>
    <row r="262" spans="1:19" x14ac:dyDescent="0.5">
      <c r="A262" s="3"/>
      <c r="C262">
        <f t="shared" si="51"/>
        <v>22.079999999999675</v>
      </c>
      <c r="D262" s="23">
        <f t="shared" si="45"/>
        <v>0.47353479228902129</v>
      </c>
      <c r="E262" s="92">
        <f t="shared" si="52"/>
        <v>0</v>
      </c>
      <c r="F262" s="3">
        <f t="shared" si="53"/>
        <v>-18.286846065829078</v>
      </c>
      <c r="G262" s="4">
        <f t="shared" si="46"/>
        <v>-58.014329791855033</v>
      </c>
      <c r="I262" s="25">
        <f t="shared" si="47"/>
        <v>-18.502014921978116</v>
      </c>
      <c r="J262">
        <f t="shared" si="48"/>
        <v>-0.21516885614903813</v>
      </c>
      <c r="K262" s="4">
        <f t="shared" si="49"/>
        <v>-44.718415082142862</v>
      </c>
      <c r="M262" s="3">
        <f t="shared" si="54"/>
        <v>115.92000000000053</v>
      </c>
      <c r="N262">
        <f t="shared" si="55"/>
        <v>22.079999999999675</v>
      </c>
      <c r="O262">
        <f t="shared" si="56"/>
        <v>-18.287137491258321</v>
      </c>
      <c r="P262">
        <f t="shared" si="50"/>
        <v>-58.015934254998768</v>
      </c>
      <c r="Q262">
        <f t="shared" si="57"/>
        <v>-0.29142542924276427</v>
      </c>
      <c r="R262">
        <f t="shared" si="58"/>
        <v>-1.6044631437353019</v>
      </c>
      <c r="S262" s="4">
        <f t="shared" si="59"/>
        <v>533.00817786522805</v>
      </c>
    </row>
    <row r="263" spans="1:19" x14ac:dyDescent="0.5">
      <c r="A263" s="3"/>
      <c r="C263">
        <f t="shared" si="51"/>
        <v>22.769999999999676</v>
      </c>
      <c r="D263" s="23">
        <f t="shared" si="45"/>
        <v>0.50333175455076773</v>
      </c>
      <c r="E263" s="92">
        <f t="shared" si="52"/>
        <v>0</v>
      </c>
      <c r="F263" s="3">
        <f t="shared" si="53"/>
        <v>-18.246816178227789</v>
      </c>
      <c r="G263" s="4">
        <f t="shared" si="46"/>
        <v>-59.308633913728272</v>
      </c>
      <c r="I263" s="25">
        <f t="shared" si="47"/>
        <v>-18.47115921555087</v>
      </c>
      <c r="J263">
        <f t="shared" si="48"/>
        <v>-0.22434303732308081</v>
      </c>
      <c r="K263" s="4">
        <f t="shared" si="49"/>
        <v>-46.094309209014099</v>
      </c>
      <c r="M263" s="3">
        <f t="shared" si="54"/>
        <v>115.23000000000053</v>
      </c>
      <c r="N263">
        <f t="shared" si="55"/>
        <v>22.769999999999676</v>
      </c>
      <c r="O263">
        <f t="shared" si="56"/>
        <v>-18.247106496577459</v>
      </c>
      <c r="P263">
        <f t="shared" si="50"/>
        <v>-59.310473492208125</v>
      </c>
      <c r="Q263">
        <f t="shared" si="57"/>
        <v>-0.29031834966986025</v>
      </c>
      <c r="R263">
        <f t="shared" si="58"/>
        <v>-1.8395784798528325</v>
      </c>
      <c r="S263" s="4">
        <f t="shared" si="59"/>
        <v>533.83051343252623</v>
      </c>
    </row>
    <row r="264" spans="1:19" x14ac:dyDescent="0.5">
      <c r="A264" s="3"/>
      <c r="C264">
        <f t="shared" si="51"/>
        <v>23.459999999999678</v>
      </c>
      <c r="D264" s="23">
        <f t="shared" si="45"/>
        <v>0.53402178665967959</v>
      </c>
      <c r="E264" s="92">
        <f t="shared" si="52"/>
        <v>0</v>
      </c>
      <c r="F264" s="3">
        <f t="shared" si="53"/>
        <v>-18.205893220779334</v>
      </c>
      <c r="G264" s="4">
        <f t="shared" si="46"/>
        <v>-60.600943486780807</v>
      </c>
      <c r="I264" s="25">
        <f t="shared" si="47"/>
        <v>-18.439354142174125</v>
      </c>
      <c r="J264">
        <f t="shared" si="48"/>
        <v>-0.23346092139479069</v>
      </c>
      <c r="K264" s="4">
        <f t="shared" si="49"/>
        <v>-47.470287694639495</v>
      </c>
      <c r="M264" s="3">
        <f t="shared" si="54"/>
        <v>114.54000000000053</v>
      </c>
      <c r="N264">
        <f t="shared" si="55"/>
        <v>23.459999999999678</v>
      </c>
      <c r="O264">
        <f t="shared" si="56"/>
        <v>-18.206182269819848</v>
      </c>
      <c r="P264">
        <f t="shared" si="50"/>
        <v>-60.603018565293787</v>
      </c>
      <c r="Q264">
        <f t="shared" si="57"/>
        <v>-0.2890490405142998</v>
      </c>
      <c r="R264">
        <f t="shared" si="58"/>
        <v>-2.0750785129806104</v>
      </c>
      <c r="S264" s="4">
        <f t="shared" si="59"/>
        <v>534.65327966540701</v>
      </c>
    </row>
    <row r="265" spans="1:19" x14ac:dyDescent="0.5">
      <c r="A265" s="3"/>
      <c r="C265">
        <f t="shared" si="51"/>
        <v>24.149999999999679</v>
      </c>
      <c r="D265" s="23">
        <f t="shared" si="45"/>
        <v>0.56560351237720063</v>
      </c>
      <c r="E265" s="92">
        <f t="shared" si="52"/>
        <v>0</v>
      </c>
      <c r="F265" s="3">
        <f t="shared" si="53"/>
        <v>-18.164078569722268</v>
      </c>
      <c r="G265" s="4">
        <f t="shared" si="46"/>
        <v>-61.891263678359181</v>
      </c>
      <c r="I265" s="25">
        <f t="shared" si="47"/>
        <v>-18.40659964364022</v>
      </c>
      <c r="J265">
        <f t="shared" si="48"/>
        <v>-0.24252107391795263</v>
      </c>
      <c r="K265" s="4">
        <f t="shared" si="49"/>
        <v>-48.84618182115647</v>
      </c>
      <c r="M265" s="3">
        <f t="shared" si="54"/>
        <v>113.85000000000053</v>
      </c>
      <c r="N265">
        <f t="shared" si="55"/>
        <v>24.149999999999679</v>
      </c>
      <c r="O265">
        <f t="shared" si="56"/>
        <v>-18.164366186958603</v>
      </c>
      <c r="P265">
        <f t="shared" si="50"/>
        <v>-61.89357456904974</v>
      </c>
      <c r="Q265">
        <f t="shared" si="57"/>
        <v>-0.28761723633508041</v>
      </c>
      <c r="R265">
        <f t="shared" si="58"/>
        <v>-2.3108906905591198</v>
      </c>
      <c r="S265" s="4">
        <f t="shared" si="59"/>
        <v>535.47649447480205</v>
      </c>
    </row>
    <row r="266" spans="1:19" x14ac:dyDescent="0.5">
      <c r="A266" s="3"/>
      <c r="C266">
        <f t="shared" si="51"/>
        <v>24.83999999999968</v>
      </c>
      <c r="D266" s="23">
        <f t="shared" si="45"/>
        <v>0.59807555903024956</v>
      </c>
      <c r="E266" s="92">
        <f t="shared" si="52"/>
        <v>0</v>
      </c>
      <c r="F266" s="3">
        <f t="shared" si="53"/>
        <v>-18.121373597729672</v>
      </c>
      <c r="G266" s="4">
        <f t="shared" si="46"/>
        <v>-63.179599637063014</v>
      </c>
      <c r="I266" s="25">
        <f t="shared" si="47"/>
        <v>-18.372895778156817</v>
      </c>
      <c r="J266">
        <f t="shared" si="48"/>
        <v>-0.2515221804271448</v>
      </c>
      <c r="K266" s="4">
        <f t="shared" si="49"/>
        <v>-50.222244665345805</v>
      </c>
      <c r="M266" s="3">
        <f t="shared" si="54"/>
        <v>113.16000000000054</v>
      </c>
      <c r="N266">
        <f t="shared" si="55"/>
        <v>24.83999999999968</v>
      </c>
      <c r="O266">
        <f t="shared" si="56"/>
        <v>-18.121659620451425</v>
      </c>
      <c r="P266">
        <f t="shared" si="50"/>
        <v>-63.182146536483636</v>
      </c>
      <c r="Q266">
        <f t="shared" si="57"/>
        <v>-0.286022721752488</v>
      </c>
      <c r="R266">
        <f t="shared" si="58"/>
        <v>-2.5468994206221396</v>
      </c>
      <c r="S266" s="4">
        <f t="shared" si="59"/>
        <v>536.30014705557494</v>
      </c>
    </row>
    <row r="267" spans="1:19" x14ac:dyDescent="0.5">
      <c r="A267" s="3"/>
      <c r="C267">
        <f t="shared" si="51"/>
        <v>25.529999999999681</v>
      </c>
      <c r="D267" s="23">
        <f t="shared" si="45"/>
        <v>0.63143655749828242</v>
      </c>
      <c r="E267" s="92">
        <f t="shared" si="52"/>
        <v>0</v>
      </c>
      <c r="F267" s="3">
        <f t="shared" si="53"/>
        <v>-18.077779673922095</v>
      </c>
      <c r="G267" s="4">
        <f t="shared" si="46"/>
        <v>-64.465956492842707</v>
      </c>
      <c r="I267" s="25">
        <f t="shared" si="47"/>
        <v>-18.338242429308593</v>
      </c>
      <c r="J267">
        <f t="shared" si="48"/>
        <v>-0.26046275538649866</v>
      </c>
      <c r="K267" s="4">
        <f t="shared" si="49"/>
        <v>-51.598054432559046</v>
      </c>
      <c r="M267" s="3">
        <f t="shared" si="54"/>
        <v>112.47000000000054</v>
      </c>
      <c r="N267">
        <f t="shared" si="55"/>
        <v>25.529999999999681</v>
      </c>
      <c r="O267">
        <f t="shared" si="56"/>
        <v>-18.07806393928324</v>
      </c>
      <c r="P267">
        <f t="shared" si="50"/>
        <v>-64.468739508326507</v>
      </c>
      <c r="Q267">
        <f t="shared" si="57"/>
        <v>-0.2842653611452306</v>
      </c>
      <c r="R267">
        <f t="shared" si="58"/>
        <v>-2.7830154837999999</v>
      </c>
      <c r="S267" s="4">
        <f t="shared" si="59"/>
        <v>537.12424588143062</v>
      </c>
    </row>
    <row r="268" spans="1:19" x14ac:dyDescent="0.5">
      <c r="A268" s="3"/>
      <c r="C268">
        <f t="shared" si="51"/>
        <v>26.219999999999683</v>
      </c>
      <c r="D268" s="23">
        <f t="shared" si="45"/>
        <v>0.66568514220041852</v>
      </c>
      <c r="E268" s="92">
        <f t="shared" si="52"/>
        <v>0</v>
      </c>
      <c r="F268" s="3">
        <f t="shared" si="53"/>
        <v>-18.033298163880414</v>
      </c>
      <c r="G268" s="4">
        <f t="shared" si="46"/>
        <v>-65.750339357061392</v>
      </c>
      <c r="I268" s="25">
        <f t="shared" si="47"/>
        <v>-18.302639771718532</v>
      </c>
      <c r="J268">
        <f t="shared" si="48"/>
        <v>-0.26934160783811834</v>
      </c>
      <c r="K268" s="4">
        <f t="shared" si="49"/>
        <v>-52.974117276362804</v>
      </c>
      <c r="M268" s="3">
        <f t="shared" si="54"/>
        <v>111.78000000000054</v>
      </c>
      <c r="N268">
        <f t="shared" si="55"/>
        <v>26.219999999999683</v>
      </c>
      <c r="O268">
        <f t="shared" si="56"/>
        <v>-18.033580508960867</v>
      </c>
      <c r="P268">
        <f t="shared" si="50"/>
        <v>-65.753358486692861</v>
      </c>
      <c r="Q268">
        <f t="shared" si="57"/>
        <v>-0.28234508045343887</v>
      </c>
      <c r="R268">
        <f t="shared" si="58"/>
        <v>-3.0191296314683314</v>
      </c>
      <c r="S268" s="4">
        <f t="shared" si="59"/>
        <v>537.94878121162878</v>
      </c>
    </row>
    <row r="269" spans="1:19" x14ac:dyDescent="0.5">
      <c r="A269" s="3"/>
      <c r="C269">
        <f t="shared" si="51"/>
        <v>26.909999999999684</v>
      </c>
      <c r="D269" s="23">
        <f t="shared" si="45"/>
        <v>0.70081995108262463</v>
      </c>
      <c r="E269" s="92">
        <f t="shared" si="52"/>
        <v>0</v>
      </c>
      <c r="F269" s="3">
        <f t="shared" si="53"/>
        <v>-17.987930429658665</v>
      </c>
      <c r="G269" s="4">
        <f t="shared" si="46"/>
        <v>-67.032753322618404</v>
      </c>
      <c r="I269" s="25">
        <f t="shared" si="47"/>
        <v>-18.26608763076365</v>
      </c>
      <c r="J269">
        <f t="shared" si="48"/>
        <v>-0.27815720110498532</v>
      </c>
      <c r="K269" s="4">
        <f t="shared" si="49"/>
        <v>-54.350011402108734</v>
      </c>
      <c r="M269" s="3">
        <f t="shared" si="54"/>
        <v>111.09000000000054</v>
      </c>
      <c r="N269">
        <f t="shared" si="55"/>
        <v>26.909999999999684</v>
      </c>
      <c r="O269">
        <f t="shared" si="56"/>
        <v>-17.988210691539663</v>
      </c>
      <c r="P269">
        <f t="shared" si="50"/>
        <v>-67.036008478846213</v>
      </c>
      <c r="Q269">
        <f t="shared" si="57"/>
        <v>-0.28026188099872229</v>
      </c>
      <c r="R269">
        <f t="shared" si="58"/>
        <v>-3.2551562278086976</v>
      </c>
      <c r="S269" s="4">
        <f t="shared" si="59"/>
        <v>538.77375405242776</v>
      </c>
    </row>
    <row r="270" spans="1:19" x14ac:dyDescent="0.5">
      <c r="A270" s="3"/>
      <c r="C270">
        <f t="shared" si="51"/>
        <v>27.599999999999685</v>
      </c>
      <c r="D270" s="23">
        <f t="shared" si="45"/>
        <v>0.73683962560496208</v>
      </c>
      <c r="E270" s="92">
        <f t="shared" si="52"/>
        <v>0</v>
      </c>
      <c r="F270" s="3">
        <f t="shared" si="53"/>
        <v>-17.941677829796781</v>
      </c>
      <c r="G270" s="4">
        <f t="shared" si="46"/>
        <v>-68.31320346398013</v>
      </c>
      <c r="I270" s="25">
        <f t="shared" si="47"/>
        <v>-18.228586122859269</v>
      </c>
      <c r="J270">
        <f t="shared" si="48"/>
        <v>-0.28690829306248844</v>
      </c>
      <c r="K270" s="4">
        <f t="shared" si="49"/>
        <v>-55.725989886577487</v>
      </c>
      <c r="M270" s="3">
        <f t="shared" si="54"/>
        <v>110.40000000000055</v>
      </c>
      <c r="N270">
        <f t="shared" si="55"/>
        <v>27.599999999999685</v>
      </c>
      <c r="O270">
        <f t="shared" si="56"/>
        <v>-17.941955845619972</v>
      </c>
      <c r="P270">
        <f t="shared" si="50"/>
        <v>-68.316694471454639</v>
      </c>
      <c r="Q270">
        <f t="shared" si="57"/>
        <v>-0.27801582319142426</v>
      </c>
      <c r="R270">
        <f t="shared" si="58"/>
        <v>-3.4910074745084785</v>
      </c>
      <c r="S270" s="4">
        <f t="shared" si="59"/>
        <v>539.59918718640847</v>
      </c>
    </row>
    <row r="271" spans="1:19" x14ac:dyDescent="0.5">
      <c r="A271" s="3"/>
      <c r="C271">
        <f t="shared" si="51"/>
        <v>28.289999999999687</v>
      </c>
      <c r="D271" s="23">
        <f t="shared" si="45"/>
        <v>0.77374281072888773</v>
      </c>
      <c r="E271" s="92">
        <f t="shared" si="52"/>
        <v>0</v>
      </c>
      <c r="F271" s="3">
        <f t="shared" si="53"/>
        <v>-17.894541719333311</v>
      </c>
      <c r="G271" s="4">
        <f t="shared" si="46"/>
        <v>-69.591694837329456</v>
      </c>
      <c r="I271" s="25">
        <f t="shared" si="47"/>
        <v>-18.190135189797729</v>
      </c>
      <c r="J271">
        <f t="shared" si="48"/>
        <v>-0.29559347046441786</v>
      </c>
      <c r="K271" s="4">
        <f t="shared" si="49"/>
        <v>-57.101884011906634</v>
      </c>
      <c r="M271" s="3">
        <f t="shared" si="54"/>
        <v>109.71000000000055</v>
      </c>
      <c r="N271">
        <f t="shared" si="55"/>
        <v>28.289999999999687</v>
      </c>
      <c r="O271">
        <f t="shared" si="56"/>
        <v>-17.894817326361334</v>
      </c>
      <c r="P271">
        <f t="shared" si="50"/>
        <v>-69.595421379102177</v>
      </c>
      <c r="Q271">
        <f t="shared" si="57"/>
        <v>-0.27560702802276182</v>
      </c>
      <c r="R271">
        <f t="shared" si="58"/>
        <v>-3.726541772721248</v>
      </c>
      <c r="S271" s="4">
        <f t="shared" si="59"/>
        <v>540.42504595830678</v>
      </c>
    </row>
    <row r="272" spans="1:19" x14ac:dyDescent="0.5">
      <c r="A272" s="3"/>
      <c r="C272">
        <f t="shared" si="51"/>
        <v>28.979999999999688</v>
      </c>
      <c r="D272" s="23">
        <f t="shared" si="45"/>
        <v>0.81152815490461949</v>
      </c>
      <c r="E272" s="92">
        <f t="shared" si="52"/>
        <v>0</v>
      </c>
      <c r="F272" s="3">
        <f t="shared" si="53"/>
        <v>-17.846523449818037</v>
      </c>
      <c r="G272" s="4">
        <f t="shared" si="46"/>
        <v>-70.868232480606878</v>
      </c>
      <c r="I272" s="25">
        <f t="shared" si="47"/>
        <v>-18.15073488978669</v>
      </c>
      <c r="J272">
        <f t="shared" si="48"/>
        <v>-0.30421143996865396</v>
      </c>
      <c r="K272" s="4">
        <f t="shared" si="49"/>
        <v>-58.477946854876727</v>
      </c>
      <c r="M272" s="3">
        <f t="shared" si="54"/>
        <v>109.02000000000055</v>
      </c>
      <c r="N272">
        <f t="shared" si="55"/>
        <v>28.979999999999688</v>
      </c>
      <c r="O272">
        <f t="shared" si="56"/>
        <v>-17.846796485532224</v>
      </c>
      <c r="P272">
        <f t="shared" si="50"/>
        <v>-70.872194180733644</v>
      </c>
      <c r="Q272">
        <f t="shared" si="57"/>
        <v>-0.27303571418713091</v>
      </c>
      <c r="R272">
        <f t="shared" si="58"/>
        <v>-3.961700126765777</v>
      </c>
      <c r="S272" s="4">
        <f t="shared" si="59"/>
        <v>541.2513565327481</v>
      </c>
    </row>
    <row r="273" spans="1:19" x14ac:dyDescent="0.5">
      <c r="A273" s="3"/>
      <c r="C273">
        <f t="shared" si="51"/>
        <v>29.669999999999689</v>
      </c>
      <c r="D273" s="23">
        <f t="shared" si="45"/>
        <v>0.85019431005855628</v>
      </c>
      <c r="E273" s="92">
        <f t="shared" si="52"/>
        <v>0</v>
      </c>
      <c r="F273" s="3">
        <f t="shared" si="53"/>
        <v>-17.797624369324556</v>
      </c>
      <c r="G273" s="4">
        <f t="shared" si="46"/>
        <v>-72.142821413608303</v>
      </c>
      <c r="I273" s="25">
        <f t="shared" si="47"/>
        <v>-18.110385106410831</v>
      </c>
      <c r="J273">
        <f t="shared" si="48"/>
        <v>-0.3127607370862755</v>
      </c>
      <c r="K273" s="4">
        <f t="shared" si="49"/>
        <v>-59.853840979768243</v>
      </c>
      <c r="M273" s="3">
        <f t="shared" si="54"/>
        <v>108.33000000000055</v>
      </c>
      <c r="N273">
        <f t="shared" si="55"/>
        <v>29.669999999999689</v>
      </c>
      <c r="O273">
        <f t="shared" si="56"/>
        <v>-17.797894671465642</v>
      </c>
      <c r="P273">
        <f t="shared" si="50"/>
        <v>-72.147017775486617</v>
      </c>
      <c r="Q273">
        <f t="shared" si="57"/>
        <v>-0.27030214108592077</v>
      </c>
      <c r="R273">
        <f t="shared" si="58"/>
        <v>-4.196361878314292</v>
      </c>
      <c r="S273" s="4">
        <f t="shared" si="59"/>
        <v>542.07810815516427</v>
      </c>
    </row>
    <row r="274" spans="1:19" x14ac:dyDescent="0.5">
      <c r="A274" s="3"/>
      <c r="C274">
        <f t="shared" si="51"/>
        <v>30.35999999999969</v>
      </c>
      <c r="D274" s="23">
        <f t="shared" si="45"/>
        <v>0.88973993158075915</v>
      </c>
      <c r="E274" s="92">
        <f t="shared" si="52"/>
        <v>0</v>
      </c>
      <c r="F274" s="3">
        <f t="shared" si="53"/>
        <v>-17.747845822462807</v>
      </c>
      <c r="G274" s="4">
        <f t="shared" si="46"/>
        <v>-73.415466638067514</v>
      </c>
      <c r="I274" s="25">
        <f t="shared" si="47"/>
        <v>-18.069085956085473</v>
      </c>
      <c r="J274">
        <f t="shared" si="48"/>
        <v>-0.32124013362266624</v>
      </c>
      <c r="K274" s="4">
        <f t="shared" si="49"/>
        <v>-61.229735104433153</v>
      </c>
      <c r="M274" s="3">
        <f t="shared" si="54"/>
        <v>107.64000000000055</v>
      </c>
      <c r="N274">
        <f t="shared" si="55"/>
        <v>30.35999999999969</v>
      </c>
      <c r="O274">
        <f t="shared" si="56"/>
        <v>-17.748113229114182</v>
      </c>
      <c r="P274">
        <f t="shared" si="50"/>
        <v>-73.419897070221936</v>
      </c>
      <c r="Q274">
        <f t="shared" si="57"/>
        <v>-0.26740665137481301</v>
      </c>
      <c r="R274">
        <f t="shared" si="58"/>
        <v>-4.4304321544217373</v>
      </c>
      <c r="S274" s="4">
        <f t="shared" si="59"/>
        <v>542.90530427104409</v>
      </c>
    </row>
    <row r="275" spans="1:19" x14ac:dyDescent="0.5">
      <c r="A275" s="3"/>
      <c r="C275">
        <f t="shared" si="51"/>
        <v>31.049999999999692</v>
      </c>
      <c r="D275" s="23">
        <f t="shared" si="45"/>
        <v>0.93016367831248781</v>
      </c>
      <c r="E275" s="92">
        <f t="shared" si="52"/>
        <v>0</v>
      </c>
      <c r="F275" s="3">
        <f t="shared" si="53"/>
        <v>-17.69718915039153</v>
      </c>
      <c r="G275" s="4">
        <f t="shared" si="46"/>
        <v>-74.686173137728204</v>
      </c>
      <c r="I275" s="25">
        <f t="shared" si="47"/>
        <v>-18.026837438810617</v>
      </c>
      <c r="J275">
        <f t="shared" si="48"/>
        <v>-0.32964828841908655</v>
      </c>
      <c r="K275" s="4">
        <f t="shared" si="49"/>
        <v>-62.605713587794746</v>
      </c>
      <c r="M275" s="3">
        <f t="shared" si="54"/>
        <v>106.95000000000056</v>
      </c>
      <c r="N275">
        <f t="shared" si="55"/>
        <v>31.049999999999692</v>
      </c>
      <c r="O275">
        <f t="shared" si="56"/>
        <v>-17.697453500044702</v>
      </c>
      <c r="P275">
        <f t="shared" si="50"/>
        <v>-74.690836946056194</v>
      </c>
      <c r="Q275">
        <f t="shared" si="57"/>
        <v>-0.26434965317179149</v>
      </c>
      <c r="R275">
        <f t="shared" si="58"/>
        <v>-4.6638083279901821</v>
      </c>
      <c r="S275" s="4">
        <f t="shared" si="59"/>
        <v>543.73294840383278</v>
      </c>
    </row>
    <row r="276" spans="1:19" x14ac:dyDescent="0.5">
      <c r="A276" s="3"/>
      <c r="C276">
        <f t="shared" si="51"/>
        <v>31.739999999999693</v>
      </c>
      <c r="D276" s="23">
        <f t="shared" si="45"/>
        <v>0.97146421253379656</v>
      </c>
      <c r="E276" s="92">
        <f t="shared" si="52"/>
        <v>0</v>
      </c>
      <c r="F276" s="3">
        <f t="shared" si="53"/>
        <v>-17.645655690830679</v>
      </c>
      <c r="G276" s="4">
        <f t="shared" si="46"/>
        <v>-75.954945878477801</v>
      </c>
      <c r="I276" s="25">
        <f t="shared" si="47"/>
        <v>-17.983639496378601</v>
      </c>
      <c r="J276">
        <f t="shared" si="48"/>
        <v>-0.33798380554792118</v>
      </c>
      <c r="K276" s="4">
        <f t="shared" si="49"/>
        <v>-63.981692070919287</v>
      </c>
      <c r="M276" s="3">
        <f t="shared" si="54"/>
        <v>106.26000000000056</v>
      </c>
      <c r="N276">
        <f t="shared" si="55"/>
        <v>31.739999999999693</v>
      </c>
      <c r="O276">
        <f t="shared" si="56"/>
        <v>-17.645916822456087</v>
      </c>
      <c r="P276">
        <f t="shared" si="50"/>
        <v>-75.959842258361704</v>
      </c>
      <c r="Q276">
        <f t="shared" si="57"/>
        <v>-0.2611316254075291</v>
      </c>
      <c r="R276">
        <f t="shared" si="58"/>
        <v>-4.8963798839025685</v>
      </c>
      <c r="S276" s="4">
        <f t="shared" si="59"/>
        <v>544.5610275589471</v>
      </c>
    </row>
    <row r="277" spans="1:19" x14ac:dyDescent="0.5">
      <c r="A277" s="3"/>
      <c r="C277">
        <f t="shared" si="51"/>
        <v>32.429999999999694</v>
      </c>
      <c r="D277" s="23">
        <f t="shared" si="45"/>
        <v>1.0136401999511877</v>
      </c>
      <c r="E277" s="92">
        <f t="shared" si="52"/>
        <v>0</v>
      </c>
      <c r="F277" s="3">
        <f t="shared" si="53"/>
        <v>-17.593246778073745</v>
      </c>
      <c r="G277" s="4">
        <f t="shared" si="46"/>
        <v>-77.221789808352725</v>
      </c>
      <c r="I277" s="25">
        <f t="shared" si="47"/>
        <v>-17.939492128789425</v>
      </c>
      <c r="J277">
        <f t="shared" si="48"/>
        <v>-0.34624535071568019</v>
      </c>
      <c r="K277" s="4">
        <f t="shared" si="49"/>
        <v>-65.357586194873036</v>
      </c>
      <c r="M277" s="3">
        <f t="shared" si="54"/>
        <v>105.57000000000056</v>
      </c>
      <c r="N277">
        <f t="shared" si="55"/>
        <v>32.429999999999694</v>
      </c>
      <c r="O277">
        <f t="shared" si="56"/>
        <v>-17.593504531197013</v>
      </c>
      <c r="P277">
        <f t="shared" si="50"/>
        <v>-77.226917875382995</v>
      </c>
      <c r="Q277">
        <f t="shared" si="57"/>
        <v>-0.25775312326814515</v>
      </c>
      <c r="R277">
        <f t="shared" si="58"/>
        <v>-5.1280670302702447</v>
      </c>
      <c r="S277" s="4">
        <f t="shared" si="59"/>
        <v>545.38956413239464</v>
      </c>
    </row>
    <row r="278" spans="1:19" x14ac:dyDescent="0.5">
      <c r="A278" s="3"/>
      <c r="C278">
        <f t="shared" si="51"/>
        <v>33.119999999999692</v>
      </c>
      <c r="D278" s="23">
        <f t="shared" si="45"/>
        <v>1.0566903096853197</v>
      </c>
      <c r="E278" s="92">
        <f t="shared" si="52"/>
        <v>0</v>
      </c>
      <c r="F278" s="3">
        <f t="shared" si="53"/>
        <v>-17.539963743000069</v>
      </c>
      <c r="G278" s="4">
        <f t="shared" si="46"/>
        <v>-78.48670985768247</v>
      </c>
      <c r="I278" s="25">
        <f t="shared" si="47"/>
        <v>-17.894395394250751</v>
      </c>
      <c r="J278">
        <f t="shared" si="48"/>
        <v>-0.35443165125068177</v>
      </c>
      <c r="K278" s="4">
        <f t="shared" si="49"/>
        <v>-66.733564677507857</v>
      </c>
      <c r="M278" s="3">
        <f t="shared" si="54"/>
        <v>104.88000000000056</v>
      </c>
      <c r="N278">
        <f t="shared" si="55"/>
        <v>33.119999999999692</v>
      </c>
      <c r="O278">
        <f t="shared" si="56"/>
        <v>-17.540217957757065</v>
      </c>
      <c r="P278">
        <f t="shared" si="50"/>
        <v>-78.492068595854974</v>
      </c>
      <c r="Q278">
        <f t="shared" si="57"/>
        <v>-0.25421475699616281</v>
      </c>
      <c r="R278">
        <f t="shared" si="58"/>
        <v>-5.3587381725037631</v>
      </c>
      <c r="S278" s="4">
        <f t="shared" si="59"/>
        <v>546.21853964112483</v>
      </c>
    </row>
    <row r="279" spans="1:19" x14ac:dyDescent="0.5">
      <c r="A279" s="3"/>
      <c r="C279">
        <f t="shared" si="51"/>
        <v>33.80999999999969</v>
      </c>
      <c r="D279" s="23">
        <f t="shared" si="45"/>
        <v>1.1006132142587763</v>
      </c>
      <c r="E279" s="92">
        <f t="shared" si="52"/>
        <v>0</v>
      </c>
      <c r="F279" s="3">
        <f t="shared" si="53"/>
        <v>-17.485807913087065</v>
      </c>
      <c r="G279" s="4">
        <f t="shared" si="46"/>
        <v>-79.749710939120519</v>
      </c>
      <c r="I279" s="25">
        <f t="shared" si="47"/>
        <v>-17.848349234554917</v>
      </c>
      <c r="J279">
        <f t="shared" si="48"/>
        <v>-0.36254132146785167</v>
      </c>
      <c r="K279" s="4">
        <f t="shared" si="49"/>
        <v>-68.109543159889938</v>
      </c>
      <c r="M279" s="3">
        <f t="shared" si="54"/>
        <v>104.19000000000057</v>
      </c>
      <c r="N279">
        <f t="shared" si="55"/>
        <v>33.80999999999969</v>
      </c>
      <c r="O279">
        <f t="shared" si="56"/>
        <v>-17.486058430314699</v>
      </c>
      <c r="P279">
        <f t="shared" si="50"/>
        <v>-79.755299244256875</v>
      </c>
      <c r="Q279">
        <f t="shared" si="57"/>
        <v>-0.25051722763436146</v>
      </c>
      <c r="R279">
        <f t="shared" si="58"/>
        <v>-5.5883051363565528</v>
      </c>
      <c r="S279" s="4">
        <f t="shared" si="59"/>
        <v>547.04796109255358</v>
      </c>
    </row>
    <row r="280" spans="1:19" x14ac:dyDescent="0.5">
      <c r="A280" s="3"/>
      <c r="C280">
        <f t="shared" si="51"/>
        <v>34.499999999999687</v>
      </c>
      <c r="D280" s="23">
        <f t="shared" si="45"/>
        <v>1.1454075895838844</v>
      </c>
      <c r="E280" s="92">
        <f t="shared" si="52"/>
        <v>0</v>
      </c>
      <c r="F280" s="3">
        <f t="shared" si="53"/>
        <v>-17.430780612422414</v>
      </c>
      <c r="G280" s="4">
        <f t="shared" si="46"/>
        <v>-81.010797947793662</v>
      </c>
      <c r="I280" s="25">
        <f t="shared" si="47"/>
        <v>-17.801353649701923</v>
      </c>
      <c r="J280">
        <f t="shared" si="48"/>
        <v>-0.37057303727950952</v>
      </c>
      <c r="K280" s="4">
        <f t="shared" si="49"/>
        <v>-69.485437283085673</v>
      </c>
      <c r="M280" s="3">
        <f t="shared" si="54"/>
        <v>103.50000000000057</v>
      </c>
      <c r="N280">
        <f t="shared" si="55"/>
        <v>34.499999999999687</v>
      </c>
      <c r="O280">
        <f t="shared" si="56"/>
        <v>-17.431027273719479</v>
      </c>
      <c r="P280">
        <f t="shared" si="50"/>
        <v>-81.016614611600431</v>
      </c>
      <c r="Q280">
        <f t="shared" si="57"/>
        <v>-0.24666129706574225</v>
      </c>
      <c r="R280">
        <f t="shared" si="58"/>
        <v>-5.8166638067689291</v>
      </c>
      <c r="S280" s="4">
        <f t="shared" si="59"/>
        <v>547.87782665516374</v>
      </c>
    </row>
    <row r="281" spans="1:19" x14ac:dyDescent="0.5">
      <c r="A281" s="3"/>
      <c r="C281">
        <f t="shared" si="51"/>
        <v>35.189999999999685</v>
      </c>
      <c r="D281" s="23">
        <f t="shared" si="45"/>
        <v>1.1910721149505983</v>
      </c>
      <c r="E281" s="92">
        <f t="shared" si="52"/>
        <v>0</v>
      </c>
      <c r="F281" s="3">
        <f t="shared" si="53"/>
        <v>-17.374883161716156</v>
      </c>
      <c r="G281" s="4">
        <f t="shared" si="46"/>
        <v>-82.269975761312367</v>
      </c>
      <c r="I281" s="25">
        <f t="shared" si="47"/>
        <v>-17.753408697899431</v>
      </c>
      <c r="J281">
        <f t="shared" si="48"/>
        <v>-0.37852553618327534</v>
      </c>
      <c r="K281" s="4">
        <f t="shared" si="49"/>
        <v>-70.861500123875217</v>
      </c>
      <c r="M281" s="3">
        <f t="shared" si="54"/>
        <v>102.81000000000057</v>
      </c>
      <c r="N281">
        <f t="shared" si="55"/>
        <v>35.189999999999685</v>
      </c>
      <c r="O281">
        <f t="shared" si="56"/>
        <v>-17.375125809515168</v>
      </c>
      <c r="P281">
        <f t="shared" si="50"/>
        <v>-82.276019476025226</v>
      </c>
      <c r="Q281">
        <f t="shared" si="57"/>
        <v>-0.24264779901272959</v>
      </c>
      <c r="R281">
        <f t="shared" si="58"/>
        <v>-6.0437147128595825</v>
      </c>
      <c r="S281" s="4">
        <f t="shared" si="59"/>
        <v>548.70814349694353</v>
      </c>
    </row>
    <row r="282" spans="1:19" x14ac:dyDescent="0.5">
      <c r="A282" s="3"/>
      <c r="C282">
        <f t="shared" si="51"/>
        <v>35.879999999999683</v>
      </c>
      <c r="D282" s="23">
        <f t="shared" si="45"/>
        <v>1.2376054730144304</v>
      </c>
      <c r="E282" s="92">
        <f t="shared" si="52"/>
        <v>0</v>
      </c>
      <c r="F282" s="3">
        <f t="shared" si="53"/>
        <v>-17.318116878312779</v>
      </c>
      <c r="G282" s="4">
        <f t="shared" si="46"/>
        <v>-83.527249239888988</v>
      </c>
      <c r="I282" s="25">
        <f t="shared" si="47"/>
        <v>-17.704514262732118</v>
      </c>
      <c r="J282">
        <f t="shared" si="48"/>
        <v>-0.38639738441933957</v>
      </c>
      <c r="K282" s="4">
        <f t="shared" si="49"/>
        <v>-72.237394246539537</v>
      </c>
      <c r="M282" s="3">
        <f t="shared" si="54"/>
        <v>102.12000000000057</v>
      </c>
      <c r="N282">
        <f t="shared" si="55"/>
        <v>35.879999999999683</v>
      </c>
      <c r="O282">
        <f t="shared" si="56"/>
        <v>-17.318355355948611</v>
      </c>
      <c r="P282">
        <f t="shared" si="50"/>
        <v>-83.533518582203229</v>
      </c>
      <c r="Q282">
        <f t="shared" si="57"/>
        <v>-0.23847763583262349</v>
      </c>
      <c r="R282">
        <f t="shared" si="58"/>
        <v>-6.2693423142405891</v>
      </c>
      <c r="S282" s="4">
        <f t="shared" si="59"/>
        <v>549.5389098936505</v>
      </c>
    </row>
    <row r="283" spans="1:19" x14ac:dyDescent="0.5">
      <c r="A283" s="3"/>
      <c r="C283">
        <f t="shared" si="51"/>
        <v>36.569999999999681</v>
      </c>
      <c r="D283" s="23">
        <f t="shared" si="45"/>
        <v>1.2850063497844417</v>
      </c>
      <c r="E283" s="92">
        <f t="shared" si="52"/>
        <v>0</v>
      </c>
      <c r="F283" s="3">
        <f t="shared" si="53"/>
        <v>-17.260483076203222</v>
      </c>
      <c r="G283" s="4">
        <f t="shared" si="46"/>
        <v>-84.782623226410138</v>
      </c>
      <c r="I283" s="25">
        <f t="shared" si="47"/>
        <v>-17.654670460615307</v>
      </c>
      <c r="J283">
        <f t="shared" si="48"/>
        <v>-0.3941873844120849</v>
      </c>
      <c r="K283" s="4">
        <f t="shared" si="49"/>
        <v>-73.61328836893037</v>
      </c>
      <c r="M283" s="3">
        <f t="shared" si="54"/>
        <v>101.43000000000058</v>
      </c>
      <c r="N283">
        <f t="shared" si="55"/>
        <v>36.569999999999681</v>
      </c>
      <c r="O283">
        <f t="shared" si="56"/>
        <v>-17.260717227992828</v>
      </c>
      <c r="P283">
        <f t="shared" si="50"/>
        <v>-84.789116661934344</v>
      </c>
      <c r="Q283">
        <f t="shared" si="57"/>
        <v>-0.23415178960561889</v>
      </c>
      <c r="R283">
        <f t="shared" si="58"/>
        <v>-6.4934355242058928</v>
      </c>
      <c r="S283" s="4">
        <f t="shared" si="59"/>
        <v>550.37011396304104</v>
      </c>
    </row>
    <row r="284" spans="1:19" x14ac:dyDescent="0.5">
      <c r="A284" s="3"/>
      <c r="C284">
        <f t="shared" si="51"/>
        <v>37.259999999999678</v>
      </c>
      <c r="D284" s="23">
        <f t="shared" si="45"/>
        <v>1.3332734346112869</v>
      </c>
      <c r="E284" s="92">
        <f t="shared" si="52"/>
        <v>0</v>
      </c>
      <c r="F284" s="3">
        <f t="shared" si="53"/>
        <v>-17.201983066036831</v>
      </c>
      <c r="G284" s="4">
        <f t="shared" si="46"/>
        <v>-86.036102546518862</v>
      </c>
      <c r="I284" s="25">
        <f t="shared" si="47"/>
        <v>-17.603877291548997</v>
      </c>
      <c r="J284">
        <f t="shared" si="48"/>
        <v>-0.4018942255121658</v>
      </c>
      <c r="K284" s="4">
        <f t="shared" si="49"/>
        <v>-74.989266849970875</v>
      </c>
      <c r="M284" s="3">
        <f t="shared" si="54"/>
        <v>100.74000000000058</v>
      </c>
      <c r="N284">
        <f t="shared" si="55"/>
        <v>37.259999999999678</v>
      </c>
      <c r="O284">
        <f t="shared" si="56"/>
        <v>-17.202212737355893</v>
      </c>
      <c r="P284">
        <f t="shared" si="50"/>
        <v>-86.04281845731623</v>
      </c>
      <c r="Q284">
        <f t="shared" si="57"/>
        <v>-0.22967131906170835</v>
      </c>
      <c r="R284">
        <f t="shared" si="58"/>
        <v>-6.7159107973679966</v>
      </c>
      <c r="S284" s="4">
        <f t="shared" si="59"/>
        <v>551.20177318665594</v>
      </c>
    </row>
    <row r="285" spans="1:19" x14ac:dyDescent="0.5">
      <c r="A285" s="3"/>
      <c r="C285">
        <f t="shared" si="51"/>
        <v>37.949999999999676</v>
      </c>
      <c r="D285" s="23">
        <f t="shared" si="45"/>
        <v>1.382405420175316</v>
      </c>
      <c r="E285" s="92">
        <f t="shared" si="52"/>
        <v>0</v>
      </c>
      <c r="F285" s="3">
        <f t="shared" si="53"/>
        <v>-17.142618155133256</v>
      </c>
      <c r="G285" s="4">
        <f t="shared" si="46"/>
        <v>-87.287692008676487</v>
      </c>
      <c r="I285" s="25">
        <f t="shared" si="47"/>
        <v>-17.552134697325528</v>
      </c>
      <c r="J285">
        <f t="shared" si="48"/>
        <v>-0.40951654219227152</v>
      </c>
      <c r="K285" s="4">
        <f t="shared" si="49"/>
        <v>-76.365245330727419</v>
      </c>
      <c r="M285" s="3">
        <f t="shared" si="54"/>
        <v>100.05000000000058</v>
      </c>
      <c r="N285">
        <f t="shared" si="55"/>
        <v>37.949999999999676</v>
      </c>
      <c r="O285">
        <f t="shared" si="56"/>
        <v>-17.142843192473833</v>
      </c>
      <c r="P285">
        <f t="shared" si="50"/>
        <v>-87.294628653809085</v>
      </c>
      <c r="Q285">
        <f t="shared" si="57"/>
        <v>-0.22503734057721658</v>
      </c>
      <c r="R285">
        <f t="shared" si="58"/>
        <v>-6.9366451325976186</v>
      </c>
      <c r="S285" s="4">
        <f t="shared" si="59"/>
        <v>552.03387800424377</v>
      </c>
    </row>
    <row r="286" spans="1:19" x14ac:dyDescent="0.5">
      <c r="A286" s="3"/>
      <c r="C286">
        <f t="shared" si="51"/>
        <v>38.639999999999674</v>
      </c>
      <c r="D286" s="23">
        <f t="shared" ref="D286:D349" si="60">+($B$35*C286^2+$B$36*C286^3+$B$37*C286^4+$B$38*C286^5+$B$39*C286^6+$B$40*C286^7+$B$41*C286^8+$B$42*C286^9+$B$43*C286^10)*1000</f>
        <v>1.4324010024747231</v>
      </c>
      <c r="E286" s="92">
        <f t="shared" si="52"/>
        <v>0</v>
      </c>
      <c r="F286" s="3">
        <f t="shared" si="53"/>
        <v>-17.082389647494306</v>
      </c>
      <c r="G286" s="4">
        <f t="shared" ref="G286:G349" si="61">+ATAN((F286-F287)/(1000*$F$19))*1000000</f>
        <v>-88.537396404281026</v>
      </c>
      <c r="I286" s="25">
        <f t="shared" ref="I286:I349" si="62">(+I$25-(I$25^2-C286^2)^0.5)*1000-(+I$25-(I$25^2-C$30^2)^0.5)*1000</f>
        <v>-17.499442677944899</v>
      </c>
      <c r="J286">
        <f t="shared" ref="J286:J349" si="63">+(I286-F286)</f>
        <v>-0.41705303045059239</v>
      </c>
      <c r="K286" s="4">
        <f t="shared" ref="K286:K349" si="64">+ATAN((I286-I287)/(1000*$F$19))*1000000</f>
        <v>-77.741139452266424</v>
      </c>
      <c r="M286" s="3">
        <f t="shared" si="54"/>
        <v>99.360000000000582</v>
      </c>
      <c r="N286">
        <f t="shared" si="55"/>
        <v>38.639999999999674</v>
      </c>
      <c r="O286">
        <f t="shared" si="56"/>
        <v>-17.082609898549705</v>
      </c>
      <c r="P286">
        <f t="shared" ref="P286:P349" si="65">+ATAN((O286-O287)/(1000*$F$19))*1000000</f>
        <v>-88.544551942022011</v>
      </c>
      <c r="Q286">
        <f t="shared" si="57"/>
        <v>-0.22025105539924539</v>
      </c>
      <c r="R286">
        <f t="shared" si="58"/>
        <v>-7.1555377409850962</v>
      </c>
      <c r="S286" s="4">
        <f t="shared" si="59"/>
        <v>552.86643359961874</v>
      </c>
    </row>
    <row r="287" spans="1:19" x14ac:dyDescent="0.5">
      <c r="A287" s="3"/>
      <c r="C287">
        <f t="shared" ref="C287:C350" si="66">+C286+$F$19</f>
        <v>39.329999999999671</v>
      </c>
      <c r="D287" s="23">
        <f t="shared" si="60"/>
        <v>1.4832588808137614</v>
      </c>
      <c r="E287" s="92">
        <f t="shared" ref="E287:E350" si="67">IF($B$20="YES",($E$25*$F$18^2/16/$O$3/$O$24*C287^2-$E$25/24/$O$3/$O$24*C287^4)*1000,0)</f>
        <v>0</v>
      </c>
      <c r="F287" s="3">
        <f t="shared" ref="F287:F350" si="68">+D287-$D$30+($F$18/2+C287)/$F$18*($D$30-D$430)+E287-MAX($E$30,$E$430)</f>
        <v>-17.021298843815725</v>
      </c>
      <c r="G287" s="4">
        <f t="shared" si="61"/>
        <v>-89.785220507703329</v>
      </c>
      <c r="I287" s="25">
        <f t="shared" si="62"/>
        <v>-17.445801291614771</v>
      </c>
      <c r="J287">
        <f t="shared" si="63"/>
        <v>-0.42450244779904622</v>
      </c>
      <c r="K287" s="4">
        <f t="shared" si="64"/>
        <v>-79.117117932439456</v>
      </c>
      <c r="M287" s="3">
        <f t="shared" ref="M287:M350" si="69">+M286-$F$19</f>
        <v>98.670000000000584</v>
      </c>
      <c r="N287">
        <f t="shared" ref="N287:N350" si="70">+N286+$F$19</f>
        <v>39.329999999999671</v>
      </c>
      <c r="O287">
        <f t="shared" ref="O287:O350" si="71">IF($O$9=0,(-$O$13*N287^3/6/$O$14+$O$12*N287^2/2/$O$14+$O$16*N287+$O$17)*1000,($O$18*(($O$14+$O$15*N287)/$O$15*LN($O$14+$O$15*N287)-N287)-$O$13*N287^2/(2*$O$15)+$O$16*N287+$O$17)*1000)</f>
        <v>-17.021514157550044</v>
      </c>
      <c r="P287">
        <f t="shared" si="65"/>
        <v>-89.792592984245402</v>
      </c>
      <c r="Q287">
        <f t="shared" ref="Q287:Q350" si="72">+(O287-F287)*1000</f>
        <v>-0.21531373431926681</v>
      </c>
      <c r="R287">
        <f t="shared" ref="R287:R350" si="73">+(P287-(G287))*1000</f>
        <v>-7.3724765420735139</v>
      </c>
      <c r="S287" s="4">
        <f t="shared" ref="S287:S350" si="74">ABS(1000/((P288-P287)/(N288-N287)))</f>
        <v>553.69943152693509</v>
      </c>
    </row>
    <row r="288" spans="1:19" x14ac:dyDescent="0.5">
      <c r="A288" s="3"/>
      <c r="C288">
        <f t="shared" si="66"/>
        <v>40.019999999999669</v>
      </c>
      <c r="D288" s="23">
        <f t="shared" si="60"/>
        <v>1.5349777577909995</v>
      </c>
      <c r="E288" s="92">
        <f t="shared" si="67"/>
        <v>0</v>
      </c>
      <c r="F288" s="3">
        <f t="shared" si="68"/>
        <v>-16.959347041498937</v>
      </c>
      <c r="G288" s="4">
        <f t="shared" si="61"/>
        <v>-91.031169076353848</v>
      </c>
      <c r="I288" s="25">
        <f t="shared" si="62"/>
        <v>-17.391210480127484</v>
      </c>
      <c r="J288">
        <f t="shared" si="63"/>
        <v>-0.4318634386285467</v>
      </c>
      <c r="K288" s="4">
        <f t="shared" si="64"/>
        <v>-80.493096412312866</v>
      </c>
      <c r="M288" s="3">
        <f t="shared" si="69"/>
        <v>97.980000000000587</v>
      </c>
      <c r="N288">
        <f t="shared" si="70"/>
        <v>40.019999999999669</v>
      </c>
      <c r="O288">
        <f t="shared" si="71"/>
        <v>-16.959557268224401</v>
      </c>
      <c r="P288">
        <f t="shared" si="65"/>
        <v>-91.03875644534412</v>
      </c>
      <c r="Q288">
        <f t="shared" si="72"/>
        <v>-0.21022672546422427</v>
      </c>
      <c r="R288">
        <f t="shared" si="73"/>
        <v>-7.5873689902721253</v>
      </c>
      <c r="S288" s="4">
        <f t="shared" si="74"/>
        <v>554.53288392431796</v>
      </c>
    </row>
    <row r="289" spans="1:19" x14ac:dyDescent="0.5">
      <c r="A289" s="3"/>
      <c r="C289">
        <f t="shared" si="66"/>
        <v>40.709999999999667</v>
      </c>
      <c r="D289" s="23">
        <f t="shared" si="60"/>
        <v>1.5875563392876415</v>
      </c>
      <c r="E289" s="92">
        <f t="shared" si="67"/>
        <v>0</v>
      </c>
      <c r="F289" s="3">
        <f t="shared" si="68"/>
        <v>-16.896535534662753</v>
      </c>
      <c r="G289" s="4">
        <f t="shared" si="61"/>
        <v>-92.275246850847466</v>
      </c>
      <c r="I289" s="25">
        <f t="shared" si="62"/>
        <v>-17.335670243483037</v>
      </c>
      <c r="J289">
        <f t="shared" si="63"/>
        <v>-0.43913470882028349</v>
      </c>
      <c r="K289" s="4">
        <f t="shared" si="64"/>
        <v>-81.868990532953219</v>
      </c>
      <c r="M289" s="3">
        <f t="shared" si="69"/>
        <v>97.290000000000589</v>
      </c>
      <c r="N289">
        <f t="shared" si="70"/>
        <v>40.709999999999667</v>
      </c>
      <c r="O289">
        <f t="shared" si="71"/>
        <v>-16.896740526103571</v>
      </c>
      <c r="P289">
        <f t="shared" si="65"/>
        <v>-92.283046946417755</v>
      </c>
      <c r="Q289">
        <f t="shared" si="72"/>
        <v>-0.20499144081753684</v>
      </c>
      <c r="R289">
        <f t="shared" si="73"/>
        <v>-7.8000955702890451</v>
      </c>
      <c r="S289" s="4">
        <f t="shared" si="74"/>
        <v>555.36678815034327</v>
      </c>
    </row>
    <row r="290" spans="1:19" x14ac:dyDescent="0.5">
      <c r="A290" s="3"/>
      <c r="C290">
        <f t="shared" si="66"/>
        <v>41.399999999999665</v>
      </c>
      <c r="D290" s="23">
        <f t="shared" si="60"/>
        <v>1.640993334455892</v>
      </c>
      <c r="E290" s="92">
        <f t="shared" si="67"/>
        <v>0</v>
      </c>
      <c r="F290" s="3">
        <f t="shared" si="68"/>
        <v>-16.832865614154958</v>
      </c>
      <c r="G290" s="4">
        <f t="shared" si="61"/>
        <v>-93.517458554967547</v>
      </c>
      <c r="I290" s="25">
        <f t="shared" si="62"/>
        <v>-17.279180639889091</v>
      </c>
      <c r="J290">
        <f t="shared" si="63"/>
        <v>-0.44631502573413329</v>
      </c>
      <c r="K290" s="4">
        <f t="shared" si="64"/>
        <v>-83.245053371140145</v>
      </c>
      <c r="M290" s="3">
        <f t="shared" si="69"/>
        <v>96.600000000000591</v>
      </c>
      <c r="N290">
        <f t="shared" si="70"/>
        <v>41.399999999999665</v>
      </c>
      <c r="O290">
        <f t="shared" si="71"/>
        <v>-16.833065223529786</v>
      </c>
      <c r="P290">
        <f t="shared" si="65"/>
        <v>-93.525469098268161</v>
      </c>
      <c r="Q290">
        <f t="shared" si="72"/>
        <v>-0.1996093748282135</v>
      </c>
      <c r="R290">
        <f t="shared" si="73"/>
        <v>-8.0105433006139037</v>
      </c>
      <c r="S290" s="4">
        <f t="shared" si="74"/>
        <v>556.20113463979624</v>
      </c>
    </row>
    <row r="291" spans="1:19" x14ac:dyDescent="0.5">
      <c r="A291" s="3"/>
      <c r="C291">
        <f t="shared" si="66"/>
        <v>42.089999999999662</v>
      </c>
      <c r="D291" s="23">
        <f t="shared" si="60"/>
        <v>1.6952874557073818</v>
      </c>
      <c r="E291" s="92">
        <f t="shared" si="67"/>
        <v>0</v>
      </c>
      <c r="F291" s="3">
        <f t="shared" si="68"/>
        <v>-16.768338567563923</v>
      </c>
      <c r="G291" s="4">
        <f t="shared" si="61"/>
        <v>-94.757808895809987</v>
      </c>
      <c r="I291" s="25">
        <f t="shared" si="62"/>
        <v>-17.221741552930325</v>
      </c>
      <c r="J291">
        <f t="shared" si="63"/>
        <v>-0.45340298536640233</v>
      </c>
      <c r="K291" s="4">
        <f t="shared" si="64"/>
        <v>-84.620863132227029</v>
      </c>
      <c r="M291" s="3">
        <f t="shared" si="69"/>
        <v>95.910000000000593</v>
      </c>
      <c r="N291">
        <f t="shared" si="70"/>
        <v>42.089999999999662</v>
      </c>
      <c r="O291">
        <f t="shared" si="71"/>
        <v>-16.768532649663825</v>
      </c>
      <c r="P291">
        <f t="shared" si="65"/>
        <v>-94.766027516846094</v>
      </c>
      <c r="Q291">
        <f t="shared" si="72"/>
        <v>-0.1940820999024595</v>
      </c>
      <c r="R291">
        <f t="shared" si="73"/>
        <v>-8.2186210361072654</v>
      </c>
      <c r="S291" s="4">
        <f t="shared" si="74"/>
        <v>557.03593805789023</v>
      </c>
    </row>
    <row r="292" spans="1:19" x14ac:dyDescent="0.5">
      <c r="A292" s="3"/>
      <c r="C292">
        <f t="shared" si="66"/>
        <v>42.77999999999966</v>
      </c>
      <c r="D292" s="23">
        <f t="shared" si="60"/>
        <v>1.7504374187016394</v>
      </c>
      <c r="E292" s="92">
        <f t="shared" si="67"/>
        <v>0</v>
      </c>
      <c r="F292" s="3">
        <f t="shared" si="68"/>
        <v>-16.702955679230122</v>
      </c>
      <c r="G292" s="4">
        <f t="shared" si="61"/>
        <v>-95.996302563855295</v>
      </c>
      <c r="I292" s="25">
        <f t="shared" si="62"/>
        <v>-17.163353157229722</v>
      </c>
      <c r="J292">
        <f t="shared" si="63"/>
        <v>-0.4603974779995994</v>
      </c>
      <c r="K292" s="4">
        <f t="shared" si="64"/>
        <v>-85.996925969778275</v>
      </c>
      <c r="M292" s="3">
        <f t="shared" si="69"/>
        <v>95.220000000000596</v>
      </c>
      <c r="N292">
        <f t="shared" si="70"/>
        <v>42.77999999999966</v>
      </c>
      <c r="O292">
        <f t="shared" si="71"/>
        <v>-16.703144090481459</v>
      </c>
      <c r="P292">
        <f t="shared" si="65"/>
        <v>-96.00472676918821</v>
      </c>
      <c r="Q292">
        <f t="shared" si="72"/>
        <v>-0.18841125133661762</v>
      </c>
      <c r="R292">
        <f t="shared" si="73"/>
        <v>-8.4242053329148803</v>
      </c>
      <c r="S292" s="4">
        <f t="shared" si="74"/>
        <v>557.87118773408736</v>
      </c>
    </row>
    <row r="293" spans="1:19" x14ac:dyDescent="0.5">
      <c r="A293" s="3"/>
      <c r="C293">
        <f t="shared" si="66"/>
        <v>43.469999999999658</v>
      </c>
      <c r="D293" s="23">
        <f t="shared" si="60"/>
        <v>1.8064419423346196</v>
      </c>
      <c r="E293" s="92">
        <f t="shared" si="67"/>
        <v>0</v>
      </c>
      <c r="F293" s="3">
        <f t="shared" si="68"/>
        <v>-16.636718230257596</v>
      </c>
      <c r="G293" s="4">
        <f t="shared" si="61"/>
        <v>-97.232944233009903</v>
      </c>
      <c r="I293" s="25">
        <f t="shared" si="62"/>
        <v>-17.104015278164297</v>
      </c>
      <c r="J293">
        <f t="shared" si="63"/>
        <v>-0.46729704790670112</v>
      </c>
      <c r="K293" s="4">
        <f t="shared" si="64"/>
        <v>-87.372820089147424</v>
      </c>
      <c r="M293" s="3">
        <f t="shared" si="69"/>
        <v>94.530000000000598</v>
      </c>
      <c r="N293">
        <f t="shared" si="70"/>
        <v>43.469999999999658</v>
      </c>
      <c r="O293">
        <f t="shared" si="71"/>
        <v>-16.6369008288072</v>
      </c>
      <c r="P293">
        <f t="shared" si="65"/>
        <v>-97.241571430054421</v>
      </c>
      <c r="Q293">
        <f t="shared" si="72"/>
        <v>-0.1825985496033411</v>
      </c>
      <c r="R293">
        <f t="shared" si="73"/>
        <v>-8.6271970445181978</v>
      </c>
      <c r="S293" s="4">
        <f t="shared" si="74"/>
        <v>558.70689386673121</v>
      </c>
    </row>
    <row r="294" spans="1:19" x14ac:dyDescent="0.5">
      <c r="A294" s="3"/>
      <c r="C294">
        <f t="shared" si="66"/>
        <v>44.159999999999656</v>
      </c>
      <c r="D294" s="23">
        <f t="shared" si="60"/>
        <v>1.8632997487272824</v>
      </c>
      <c r="E294" s="92">
        <f t="shared" si="67"/>
        <v>0</v>
      </c>
      <c r="F294" s="3">
        <f t="shared" si="68"/>
        <v>-16.569627498525389</v>
      </c>
      <c r="G294" s="4">
        <f t="shared" si="61"/>
        <v>-98.467738560719326</v>
      </c>
      <c r="I294" s="25">
        <f t="shared" si="62"/>
        <v>-17.043728032149374</v>
      </c>
      <c r="J294">
        <f t="shared" si="63"/>
        <v>-0.47410053362398585</v>
      </c>
      <c r="K294" s="4">
        <f t="shared" si="64"/>
        <v>-88.74871420818576</v>
      </c>
      <c r="M294" s="3">
        <f t="shared" si="69"/>
        <v>93.8400000000006</v>
      </c>
      <c r="N294">
        <f t="shared" si="70"/>
        <v>44.159999999999656</v>
      </c>
      <c r="O294">
        <f t="shared" si="71"/>
        <v>-16.569804144308975</v>
      </c>
      <c r="P294">
        <f t="shared" si="65"/>
        <v>-98.476566035588291</v>
      </c>
      <c r="Q294">
        <f t="shared" si="72"/>
        <v>-0.17664578358633776</v>
      </c>
      <c r="R294">
        <f t="shared" si="73"/>
        <v>-8.8274748689656235</v>
      </c>
      <c r="S294" s="4">
        <f t="shared" si="74"/>
        <v>559.5430411107734</v>
      </c>
    </row>
    <row r="295" spans="1:19" x14ac:dyDescent="0.5">
      <c r="A295" s="3"/>
      <c r="C295">
        <f t="shared" si="66"/>
        <v>44.849999999999653</v>
      </c>
      <c r="D295" s="23">
        <f t="shared" si="60"/>
        <v>1.9210095632142241</v>
      </c>
      <c r="E295" s="92">
        <f t="shared" si="67"/>
        <v>0</v>
      </c>
      <c r="F295" s="3">
        <f t="shared" si="68"/>
        <v>-16.501684758698904</v>
      </c>
      <c r="G295" s="4">
        <f t="shared" si="61"/>
        <v>-99.700690188024836</v>
      </c>
      <c r="I295" s="25">
        <f t="shared" si="62"/>
        <v>-16.982491419184953</v>
      </c>
      <c r="J295">
        <f t="shared" si="63"/>
        <v>-0.48080666048604925</v>
      </c>
      <c r="K295" s="4">
        <f t="shared" si="64"/>
        <v>-90.124777044744405</v>
      </c>
      <c r="M295" s="3">
        <f t="shared" si="69"/>
        <v>93.150000000000603</v>
      </c>
      <c r="N295">
        <f t="shared" si="70"/>
        <v>44.849999999999653</v>
      </c>
      <c r="O295">
        <f t="shared" si="71"/>
        <v>-16.501855313524771</v>
      </c>
      <c r="P295">
        <f t="shared" si="65"/>
        <v>-99.709715139954326</v>
      </c>
      <c r="Q295">
        <f t="shared" si="72"/>
        <v>-0.17055482586769699</v>
      </c>
      <c r="R295">
        <f t="shared" si="73"/>
        <v>-9.0249519294900438</v>
      </c>
      <c r="S295" s="4">
        <f t="shared" si="74"/>
        <v>560.37965732117414</v>
      </c>
    </row>
    <row r="296" spans="1:19" x14ac:dyDescent="0.5">
      <c r="A296" s="3"/>
      <c r="C296">
        <f t="shared" si="66"/>
        <v>45.539999999999651</v>
      </c>
      <c r="D296" s="23">
        <f t="shared" si="60"/>
        <v>1.979570114332357</v>
      </c>
      <c r="E296" s="92">
        <f t="shared" si="67"/>
        <v>0</v>
      </c>
      <c r="F296" s="3">
        <f t="shared" si="68"/>
        <v>-16.432891282241226</v>
      </c>
      <c r="G296" s="4">
        <f t="shared" si="61"/>
        <v>-100.93180373964071</v>
      </c>
      <c r="I296" s="25">
        <f t="shared" si="62"/>
        <v>-16.920305322855711</v>
      </c>
      <c r="J296">
        <f t="shared" si="63"/>
        <v>-0.48741404061448534</v>
      </c>
      <c r="K296" s="4">
        <f t="shared" si="64"/>
        <v>-91.500671163105451</v>
      </c>
      <c r="M296" s="3">
        <f t="shared" si="69"/>
        <v>92.460000000000605</v>
      </c>
      <c r="N296">
        <f t="shared" si="70"/>
        <v>45.539999999999651</v>
      </c>
      <c r="O296">
        <f t="shared" si="71"/>
        <v>-16.4330556098502</v>
      </c>
      <c r="P296">
        <f t="shared" si="65"/>
        <v>-100.94102322008425</v>
      </c>
      <c r="Q296">
        <f t="shared" si="72"/>
        <v>-0.16432760897444609</v>
      </c>
      <c r="R296">
        <f t="shared" si="73"/>
        <v>-9.2194804435337119</v>
      </c>
      <c r="S296" s="4">
        <f t="shared" si="74"/>
        <v>561.21670373639449</v>
      </c>
    </row>
    <row r="297" spans="1:19" x14ac:dyDescent="0.5">
      <c r="A297" s="3"/>
      <c r="C297">
        <f t="shared" si="66"/>
        <v>46.229999999999649</v>
      </c>
      <c r="D297" s="23">
        <f t="shared" si="60"/>
        <v>2.0389801338096505</v>
      </c>
      <c r="E297" s="92">
        <f t="shared" si="67"/>
        <v>0</v>
      </c>
      <c r="F297" s="3">
        <f t="shared" si="68"/>
        <v>-16.363248337424384</v>
      </c>
      <c r="G297" s="4">
        <f t="shared" si="61"/>
        <v>-102.16108382400053</v>
      </c>
      <c r="I297" s="25">
        <f t="shared" si="62"/>
        <v>-16.85716985957697</v>
      </c>
      <c r="J297">
        <f t="shared" si="63"/>
        <v>-0.49392152215258633</v>
      </c>
      <c r="K297" s="4">
        <f t="shared" si="64"/>
        <v>-92.876649640048186</v>
      </c>
      <c r="M297" s="3">
        <f t="shared" si="69"/>
        <v>91.770000000000607</v>
      </c>
      <c r="N297">
        <f t="shared" si="70"/>
        <v>46.229999999999649</v>
      </c>
      <c r="O297">
        <f t="shared" si="71"/>
        <v>-16.363406303591788</v>
      </c>
      <c r="P297">
        <f t="shared" si="65"/>
        <v>-102.17049482241933</v>
      </c>
      <c r="Q297">
        <f t="shared" si="72"/>
        <v>-0.15796616740360037</v>
      </c>
      <c r="R297">
        <f t="shared" si="73"/>
        <v>-9.4109984188008866</v>
      </c>
      <c r="S297" s="4">
        <f t="shared" si="74"/>
        <v>562.05421895503719</v>
      </c>
    </row>
    <row r="298" spans="1:19" x14ac:dyDescent="0.5">
      <c r="A298" s="3"/>
      <c r="C298">
        <f t="shared" si="66"/>
        <v>46.919999999999646</v>
      </c>
      <c r="D298" s="23">
        <f t="shared" si="60"/>
        <v>2.0992383565539039</v>
      </c>
      <c r="E298" s="92">
        <f t="shared" si="67"/>
        <v>0</v>
      </c>
      <c r="F298" s="3">
        <f t="shared" si="68"/>
        <v>-16.292757189340588</v>
      </c>
      <c r="G298" s="4">
        <f t="shared" si="61"/>
        <v>-103.38853503340654</v>
      </c>
      <c r="I298" s="25">
        <f t="shared" si="62"/>
        <v>-16.79308497114107</v>
      </c>
      <c r="J298">
        <f t="shared" si="63"/>
        <v>-0.50032778180048254</v>
      </c>
      <c r="K298" s="4">
        <f t="shared" si="64"/>
        <v>-94.252543757711138</v>
      </c>
      <c r="M298" s="3">
        <f t="shared" si="69"/>
        <v>91.080000000000609</v>
      </c>
      <c r="N298">
        <f t="shared" si="70"/>
        <v>46.919999999999646</v>
      </c>
      <c r="O298">
        <f t="shared" si="71"/>
        <v>-16.292908661919014</v>
      </c>
      <c r="P298">
        <f t="shared" si="65"/>
        <v>-103.39813439299819</v>
      </c>
      <c r="Q298">
        <f t="shared" si="72"/>
        <v>-0.1514725784268478</v>
      </c>
      <c r="R298">
        <f t="shared" si="73"/>
        <v>-9.5993595916468166</v>
      </c>
      <c r="S298" s="4">
        <f t="shared" si="74"/>
        <v>562.89218059773441</v>
      </c>
    </row>
    <row r="299" spans="1:19" x14ac:dyDescent="0.5">
      <c r="A299" s="3"/>
      <c r="C299">
        <f t="shared" si="66"/>
        <v>47.609999999999644</v>
      </c>
      <c r="D299" s="23">
        <f t="shared" si="60"/>
        <v>2.1603435206415917</v>
      </c>
      <c r="E299" s="92">
        <f t="shared" si="67"/>
        <v>0</v>
      </c>
      <c r="F299" s="3">
        <f t="shared" si="68"/>
        <v>-16.221419099913355</v>
      </c>
      <c r="G299" s="4">
        <f t="shared" si="61"/>
        <v>-104.61416194401421</v>
      </c>
      <c r="I299" s="25">
        <f t="shared" si="62"/>
        <v>-16.728050715755671</v>
      </c>
      <c r="J299">
        <f t="shared" si="63"/>
        <v>-0.50663161584231631</v>
      </c>
      <c r="K299" s="4">
        <f t="shared" si="64"/>
        <v>-95.628522233945304</v>
      </c>
      <c r="M299" s="3">
        <f t="shared" si="69"/>
        <v>90.390000000000612</v>
      </c>
      <c r="N299">
        <f t="shared" si="70"/>
        <v>47.609999999999644</v>
      </c>
      <c r="O299">
        <f t="shared" si="71"/>
        <v>-16.221563948933593</v>
      </c>
      <c r="P299">
        <f t="shared" si="65"/>
        <v>-104.62394641132697</v>
      </c>
      <c r="Q299">
        <f t="shared" si="72"/>
        <v>-0.14484902023781387</v>
      </c>
      <c r="R299">
        <f t="shared" si="73"/>
        <v>-9.7844673127553961</v>
      </c>
      <c r="S299" s="4">
        <f t="shared" si="74"/>
        <v>563.73060043512032</v>
      </c>
    </row>
    <row r="300" spans="1:19" x14ac:dyDescent="0.5">
      <c r="A300" s="3"/>
      <c r="C300">
        <f t="shared" si="66"/>
        <v>48.299999999999642</v>
      </c>
      <c r="D300" s="23">
        <f t="shared" si="60"/>
        <v>2.2222943673067479</v>
      </c>
      <c r="E300" s="92">
        <f t="shared" si="67"/>
        <v>0</v>
      </c>
      <c r="F300" s="3">
        <f t="shared" si="68"/>
        <v>-16.149235327908656</v>
      </c>
      <c r="G300" s="4">
        <f t="shared" si="61"/>
        <v>-105.83796911595574</v>
      </c>
      <c r="I300" s="25">
        <f t="shared" si="62"/>
        <v>-16.662067035213113</v>
      </c>
      <c r="J300">
        <f t="shared" si="63"/>
        <v>-0.51283170730445704</v>
      </c>
      <c r="K300" s="4">
        <f t="shared" si="64"/>
        <v>-97.004500709817364</v>
      </c>
      <c r="M300" s="3">
        <f t="shared" si="69"/>
        <v>89.700000000000614</v>
      </c>
      <c r="N300">
        <f t="shared" si="70"/>
        <v>48.299999999999642</v>
      </c>
      <c r="O300">
        <f t="shared" si="71"/>
        <v>-16.149373425646374</v>
      </c>
      <c r="P300">
        <f t="shared" si="65"/>
        <v>-105.84793531572105</v>
      </c>
      <c r="Q300">
        <f t="shared" si="72"/>
        <v>-0.13809773771811251</v>
      </c>
      <c r="R300">
        <f t="shared" si="73"/>
        <v>-9.9661997653015533</v>
      </c>
      <c r="S300" s="4">
        <f t="shared" si="74"/>
        <v>564.56946305887607</v>
      </c>
    </row>
    <row r="301" spans="1:19" x14ac:dyDescent="0.5">
      <c r="A301" s="3"/>
      <c r="C301">
        <f t="shared" si="66"/>
        <v>48.98999999999964</v>
      </c>
      <c r="D301" s="23">
        <f t="shared" si="60"/>
        <v>2.2850896409298942</v>
      </c>
      <c r="E301" s="92">
        <f t="shared" si="67"/>
        <v>0</v>
      </c>
      <c r="F301" s="3">
        <f t="shared" si="68"/>
        <v>-16.076207128945967</v>
      </c>
      <c r="G301" s="4">
        <f t="shared" si="61"/>
        <v>-107.0599610934122</v>
      </c>
      <c r="I301" s="25">
        <f t="shared" si="62"/>
        <v>-16.595133929513395</v>
      </c>
      <c r="J301">
        <f t="shared" si="63"/>
        <v>-0.5189268005674279</v>
      </c>
      <c r="K301" s="4">
        <f t="shared" si="64"/>
        <v>-98.380394826394067</v>
      </c>
      <c r="M301" s="3">
        <f t="shared" si="69"/>
        <v>89.010000000000616</v>
      </c>
      <c r="N301">
        <f t="shared" si="70"/>
        <v>48.98999999999964</v>
      </c>
      <c r="O301">
        <f t="shared" si="71"/>
        <v>-16.07633835000577</v>
      </c>
      <c r="P301">
        <f t="shared" si="65"/>
        <v>-107.07010556251677</v>
      </c>
      <c r="Q301">
        <f t="shared" si="72"/>
        <v>-0.13122105980301058</v>
      </c>
      <c r="R301">
        <f t="shared" si="73"/>
        <v>-10.144469104574227</v>
      </c>
      <c r="S301" s="4">
        <f t="shared" si="74"/>
        <v>565.40879107813532</v>
      </c>
    </row>
    <row r="302" spans="1:19" x14ac:dyDescent="0.5">
      <c r="A302" s="3"/>
      <c r="C302">
        <f t="shared" si="66"/>
        <v>49.679999999999637</v>
      </c>
      <c r="D302" s="23">
        <f t="shared" si="60"/>
        <v>2.3487280890270354</v>
      </c>
      <c r="E302" s="92">
        <f t="shared" si="67"/>
        <v>0</v>
      </c>
      <c r="F302" s="3">
        <f t="shared" si="68"/>
        <v>-16.002335755509279</v>
      </c>
      <c r="G302" s="4">
        <f t="shared" si="61"/>
        <v>-108.28014240464957</v>
      </c>
      <c r="I302" s="25">
        <f t="shared" si="62"/>
        <v>-16.527251456864178</v>
      </c>
      <c r="J302">
        <f t="shared" si="63"/>
        <v>-0.52491570135489951</v>
      </c>
      <c r="K302" s="4">
        <f t="shared" si="64"/>
        <v>-99.756373301526295</v>
      </c>
      <c r="M302" s="3">
        <f t="shared" si="69"/>
        <v>88.320000000000618</v>
      </c>
      <c r="N302">
        <f t="shared" si="70"/>
        <v>49.679999999999637</v>
      </c>
      <c r="O302">
        <f t="shared" si="71"/>
        <v>-16.002459976885319</v>
      </c>
      <c r="P302">
        <f t="shared" si="65"/>
        <v>-108.29046154368977</v>
      </c>
      <c r="Q302">
        <f t="shared" si="72"/>
        <v>-0.124221376040623</v>
      </c>
      <c r="R302">
        <f t="shared" si="73"/>
        <v>-10.319139040205982</v>
      </c>
      <c r="S302" s="4">
        <f t="shared" si="74"/>
        <v>566.2485643366249</v>
      </c>
    </row>
    <row r="303" spans="1:19" x14ac:dyDescent="0.5">
      <c r="A303" s="3"/>
      <c r="C303">
        <f t="shared" si="66"/>
        <v>50.369999999999635</v>
      </c>
      <c r="D303" s="23">
        <f t="shared" si="60"/>
        <v>2.4132084622386909</v>
      </c>
      <c r="E303" s="92">
        <f t="shared" si="67"/>
        <v>0</v>
      </c>
      <c r="F303" s="3">
        <f t="shared" si="68"/>
        <v>-15.927622456958076</v>
      </c>
      <c r="G303" s="4">
        <f t="shared" si="61"/>
        <v>-109.49851756212172</v>
      </c>
      <c r="I303" s="25">
        <f t="shared" si="62"/>
        <v>-16.458419559057802</v>
      </c>
      <c r="J303">
        <f t="shared" si="63"/>
        <v>-0.53079710209972575</v>
      </c>
      <c r="K303" s="4">
        <f t="shared" si="64"/>
        <v>-101.1323517762808</v>
      </c>
      <c r="M303" s="3">
        <f t="shared" si="69"/>
        <v>87.630000000000621</v>
      </c>
      <c r="N303">
        <f t="shared" si="70"/>
        <v>50.369999999999635</v>
      </c>
      <c r="O303">
        <f t="shared" si="71"/>
        <v>-15.927739558128096</v>
      </c>
      <c r="P303">
        <f t="shared" si="65"/>
        <v>-109.50900767953446</v>
      </c>
      <c r="Q303">
        <f t="shared" si="72"/>
        <v>-0.11710117001939579</v>
      </c>
      <c r="R303">
        <f t="shared" si="73"/>
        <v>-10.490117412743416</v>
      </c>
      <c r="S303" s="4">
        <f t="shared" si="74"/>
        <v>567.08880086598117</v>
      </c>
    </row>
    <row r="304" spans="1:19" x14ac:dyDescent="0.5">
      <c r="A304" s="3"/>
      <c r="C304">
        <f t="shared" si="66"/>
        <v>51.059999999999633</v>
      </c>
      <c r="D304" s="23">
        <f t="shared" si="60"/>
        <v>2.4785295143189741</v>
      </c>
      <c r="E304" s="92">
        <f t="shared" si="67"/>
        <v>0</v>
      </c>
      <c r="F304" s="3">
        <f t="shared" si="68"/>
        <v>-15.85206847953825</v>
      </c>
      <c r="G304" s="4">
        <f t="shared" si="61"/>
        <v>-110.71509106256045</v>
      </c>
      <c r="I304" s="25">
        <f t="shared" si="62"/>
        <v>-16.388638236094266</v>
      </c>
      <c r="J304">
        <f t="shared" si="63"/>
        <v>-0.53656975655601613</v>
      </c>
      <c r="K304" s="4">
        <f t="shared" si="64"/>
        <v>-102.50824589172437</v>
      </c>
      <c r="M304" s="3">
        <f t="shared" si="69"/>
        <v>86.940000000000623</v>
      </c>
      <c r="N304">
        <f t="shared" si="70"/>
        <v>51.059999999999633</v>
      </c>
      <c r="O304">
        <f t="shared" si="71"/>
        <v>-15.852178342527168</v>
      </c>
      <c r="P304">
        <f t="shared" si="65"/>
        <v>-110.72574833628227</v>
      </c>
      <c r="Q304">
        <f t="shared" si="72"/>
        <v>-0.10986298891779711</v>
      </c>
      <c r="R304">
        <f t="shared" si="73"/>
        <v>-10.657273721818683</v>
      </c>
      <c r="S304" s="4">
        <f t="shared" si="74"/>
        <v>567.92948765555093</v>
      </c>
    </row>
    <row r="305" spans="1:19" x14ac:dyDescent="0.5">
      <c r="A305" s="3"/>
      <c r="C305">
        <f t="shared" si="66"/>
        <v>51.749999999999631</v>
      </c>
      <c r="D305" s="23">
        <f t="shared" si="60"/>
        <v>2.5446900021247343</v>
      </c>
      <c r="E305" s="92">
        <f t="shared" si="67"/>
        <v>0</v>
      </c>
      <c r="F305" s="3">
        <f t="shared" si="68"/>
        <v>-15.775675066392944</v>
      </c>
      <c r="G305" s="4">
        <f t="shared" si="61"/>
        <v>-111.92986738698329</v>
      </c>
      <c r="I305" s="25">
        <f t="shared" si="62"/>
        <v>-16.317907546181232</v>
      </c>
      <c r="J305">
        <f t="shared" si="63"/>
        <v>-0.54223247978828759</v>
      </c>
      <c r="K305" s="4">
        <f t="shared" si="64"/>
        <v>-103.88430872463573</v>
      </c>
      <c r="M305" s="3">
        <f t="shared" si="69"/>
        <v>86.250000000000625</v>
      </c>
      <c r="N305">
        <f t="shared" si="70"/>
        <v>51.749999999999631</v>
      </c>
      <c r="O305">
        <f t="shared" si="71"/>
        <v>-15.775777575862904</v>
      </c>
      <c r="P305">
        <f t="shared" si="65"/>
        <v>-111.94068789303668</v>
      </c>
      <c r="Q305">
        <f t="shared" si="72"/>
        <v>-0.10250946995959964</v>
      </c>
      <c r="R305">
        <f t="shared" si="73"/>
        <v>-10.82050605339191</v>
      </c>
      <c r="S305" s="4">
        <f t="shared" si="74"/>
        <v>568.7706272627629</v>
      </c>
    </row>
    <row r="306" spans="1:19" x14ac:dyDescent="0.5">
      <c r="A306" s="3"/>
      <c r="C306">
        <f t="shared" si="66"/>
        <v>52.439999999999628</v>
      </c>
      <c r="D306" s="23">
        <f t="shared" si="60"/>
        <v>2.6116886856047357</v>
      </c>
      <c r="E306" s="92">
        <f t="shared" si="67"/>
        <v>0</v>
      </c>
      <c r="F306" s="3">
        <f t="shared" si="68"/>
        <v>-15.698443457573399</v>
      </c>
      <c r="G306" s="4">
        <f t="shared" si="61"/>
        <v>-113.14285100081965</v>
      </c>
      <c r="I306" s="25">
        <f t="shared" si="62"/>
        <v>-16.246227372903377</v>
      </c>
      <c r="J306">
        <f t="shared" si="63"/>
        <v>-0.54778391532997794</v>
      </c>
      <c r="K306" s="4">
        <f t="shared" si="64"/>
        <v>-105.26011848036987</v>
      </c>
      <c r="M306" s="3">
        <f t="shared" si="69"/>
        <v>85.560000000000628</v>
      </c>
      <c r="N306">
        <f t="shared" si="70"/>
        <v>52.439999999999628</v>
      </c>
      <c r="O306">
        <f t="shared" si="71"/>
        <v>-15.698538500894088</v>
      </c>
      <c r="P306">
        <f t="shared" si="65"/>
        <v>-113.15383070830592</v>
      </c>
      <c r="Q306">
        <f t="shared" si="72"/>
        <v>-9.5043320689214283E-2</v>
      </c>
      <c r="R306">
        <f t="shared" si="73"/>
        <v>-10.979707486271195</v>
      </c>
      <c r="S306" s="4">
        <f t="shared" si="74"/>
        <v>569.61223320290026</v>
      </c>
    </row>
    <row r="307" spans="1:19" x14ac:dyDescent="0.5">
      <c r="A307" s="3"/>
      <c r="C307">
        <f t="shared" si="66"/>
        <v>53.129999999999626</v>
      </c>
      <c r="D307" s="23">
        <f t="shared" si="60"/>
        <v>2.6795243277888843</v>
      </c>
      <c r="E307" s="92">
        <f t="shared" si="67"/>
        <v>0</v>
      </c>
      <c r="F307" s="3">
        <f t="shared" si="68"/>
        <v>-15.620374890049707</v>
      </c>
      <c r="G307" s="4">
        <f t="shared" si="61"/>
        <v>-114.35404635396482</v>
      </c>
      <c r="I307" s="25">
        <f t="shared" si="62"/>
        <v>-16.173597890883684</v>
      </c>
      <c r="J307">
        <f t="shared" si="63"/>
        <v>-0.55322300083397735</v>
      </c>
      <c r="K307" s="4">
        <f t="shared" si="64"/>
        <v>-106.63618131248926</v>
      </c>
      <c r="M307" s="3">
        <f t="shared" si="69"/>
        <v>84.87000000000063</v>
      </c>
      <c r="N307">
        <f t="shared" si="70"/>
        <v>53.129999999999626</v>
      </c>
      <c r="O307">
        <f t="shared" si="71"/>
        <v>-15.620462357372134</v>
      </c>
      <c r="P307">
        <f t="shared" si="65"/>
        <v>-114.3651810968328</v>
      </c>
      <c r="Q307">
        <f t="shared" si="72"/>
        <v>-8.7467322426704186E-2</v>
      </c>
      <c r="R307">
        <f t="shared" si="73"/>
        <v>-11.134742867980663</v>
      </c>
      <c r="S307" s="4">
        <f t="shared" si="74"/>
        <v>570.45427547363431</v>
      </c>
    </row>
    <row r="308" spans="1:19" x14ac:dyDescent="0.5">
      <c r="A308" s="3"/>
      <c r="C308">
        <f t="shared" si="66"/>
        <v>53.819999999999624</v>
      </c>
      <c r="D308" s="23">
        <f t="shared" si="60"/>
        <v>2.7481956947775128</v>
      </c>
      <c r="E308" s="92">
        <f t="shared" si="67"/>
        <v>0</v>
      </c>
      <c r="F308" s="3">
        <f t="shared" si="68"/>
        <v>-15.541470597721531</v>
      </c>
      <c r="G308" s="4">
        <f t="shared" si="61"/>
        <v>-115.56345788082632</v>
      </c>
      <c r="I308" s="25">
        <f t="shared" si="62"/>
        <v>-16.100018925499171</v>
      </c>
      <c r="J308">
        <f t="shared" si="63"/>
        <v>-0.55854832777763974</v>
      </c>
      <c r="K308" s="4">
        <f t="shared" si="64"/>
        <v>-108.01199106742116</v>
      </c>
      <c r="M308" s="3">
        <f t="shared" si="69"/>
        <v>84.180000000000632</v>
      </c>
      <c r="N308">
        <f t="shared" si="70"/>
        <v>53.819999999999624</v>
      </c>
      <c r="O308">
        <f t="shared" si="71"/>
        <v>-15.541550382071279</v>
      </c>
      <c r="P308">
        <f t="shared" si="65"/>
        <v>-115.57474342227441</v>
      </c>
      <c r="Q308">
        <f t="shared" si="72"/>
        <v>-7.9784349747313854E-2</v>
      </c>
      <c r="R308">
        <f t="shared" si="73"/>
        <v>-11.28554144808902</v>
      </c>
      <c r="S308" s="4">
        <f t="shared" si="74"/>
        <v>571.29679316029842</v>
      </c>
    </row>
    <row r="309" spans="1:19" x14ac:dyDescent="0.5">
      <c r="A309" s="3"/>
      <c r="C309">
        <f t="shared" si="66"/>
        <v>54.509999999999621</v>
      </c>
      <c r="D309" s="23">
        <f t="shared" si="60"/>
        <v>2.8177015557307055</v>
      </c>
      <c r="E309" s="92">
        <f t="shared" si="67"/>
        <v>0</v>
      </c>
      <c r="F309" s="3">
        <f t="shared" si="68"/>
        <v>-15.461731811428793</v>
      </c>
      <c r="G309" s="4">
        <f t="shared" si="61"/>
        <v>-116.77109000042697</v>
      </c>
      <c r="I309" s="25">
        <f t="shared" si="62"/>
        <v>-16.02549065137282</v>
      </c>
      <c r="J309">
        <f t="shared" si="63"/>
        <v>-0.5637588399440272</v>
      </c>
      <c r="K309" s="4">
        <f t="shared" si="64"/>
        <v>-109.38805389872772</v>
      </c>
      <c r="M309" s="3">
        <f t="shared" si="69"/>
        <v>83.490000000000634</v>
      </c>
      <c r="N309">
        <f t="shared" si="70"/>
        <v>54.509999999999621</v>
      </c>
      <c r="O309">
        <f t="shared" si="71"/>
        <v>-15.461803808754837</v>
      </c>
      <c r="P309">
        <f t="shared" si="65"/>
        <v>-116.78252195045948</v>
      </c>
      <c r="Q309">
        <f t="shared" si="72"/>
        <v>-7.1997326044126453E-2</v>
      </c>
      <c r="R309">
        <f t="shared" si="73"/>
        <v>-11.431950032516625</v>
      </c>
      <c r="S309" s="4">
        <f t="shared" si="74"/>
        <v>572.13976233330129</v>
      </c>
    </row>
    <row r="310" spans="1:19" x14ac:dyDescent="0.5">
      <c r="A310" s="3"/>
      <c r="C310">
        <f t="shared" si="66"/>
        <v>55.199999999999619</v>
      </c>
      <c r="D310" s="23">
        <f t="shared" si="60"/>
        <v>2.8880406828576728</v>
      </c>
      <c r="E310" s="92">
        <f t="shared" si="67"/>
        <v>0</v>
      </c>
      <c r="F310" s="3">
        <f t="shared" si="68"/>
        <v>-15.381159758962285</v>
      </c>
      <c r="G310" s="4">
        <f t="shared" si="61"/>
        <v>-117.97694711647424</v>
      </c>
      <c r="I310" s="25">
        <f t="shared" si="62"/>
        <v>-15.950012893881649</v>
      </c>
      <c r="J310">
        <f t="shared" si="63"/>
        <v>-0.56885313491936351</v>
      </c>
      <c r="K310" s="4">
        <f t="shared" si="64"/>
        <v>-110.76403237069219</v>
      </c>
      <c r="M310" s="3">
        <f t="shared" si="69"/>
        <v>82.800000000000637</v>
      </c>
      <c r="N310">
        <f t="shared" si="70"/>
        <v>55.199999999999619</v>
      </c>
      <c r="O310">
        <f t="shared" si="71"/>
        <v>-15.381223868242699</v>
      </c>
      <c r="P310">
        <f t="shared" si="65"/>
        <v>-117.98852098325881</v>
      </c>
      <c r="Q310">
        <f t="shared" si="72"/>
        <v>-6.4109280414115233E-2</v>
      </c>
      <c r="R310">
        <f t="shared" si="73"/>
        <v>-11.573866784573283</v>
      </c>
      <c r="S310" s="4">
        <f t="shared" si="74"/>
        <v>572.98318453467266</v>
      </c>
    </row>
    <row r="311" spans="1:19" x14ac:dyDescent="0.5">
      <c r="A311" s="3"/>
      <c r="C311">
        <f t="shared" si="66"/>
        <v>55.889999999999617</v>
      </c>
      <c r="D311" s="23">
        <f t="shared" si="60"/>
        <v>2.9592118514061712</v>
      </c>
      <c r="E311" s="92">
        <f t="shared" si="67"/>
        <v>0</v>
      </c>
      <c r="F311" s="3">
        <f t="shared" si="68"/>
        <v>-15.299755665074242</v>
      </c>
      <c r="G311" s="4">
        <f t="shared" si="61"/>
        <v>-119.18103361738618</v>
      </c>
      <c r="I311" s="25">
        <f t="shared" si="62"/>
        <v>-15.873585711233318</v>
      </c>
      <c r="J311">
        <f t="shared" si="63"/>
        <v>-0.57383004615907574</v>
      </c>
      <c r="K311" s="4">
        <f t="shared" si="64"/>
        <v>-112.13984212438164</v>
      </c>
      <c r="M311" s="3">
        <f t="shared" si="69"/>
        <v>82.110000000000639</v>
      </c>
      <c r="N311">
        <f t="shared" si="70"/>
        <v>55.889999999999617</v>
      </c>
      <c r="O311">
        <f t="shared" si="71"/>
        <v>-15.299811788386464</v>
      </c>
      <c r="P311">
        <f t="shared" si="65"/>
        <v>-119.19274480452218</v>
      </c>
      <c r="Q311">
        <f t="shared" si="72"/>
        <v>-5.6123312221600941E-2</v>
      </c>
      <c r="R311">
        <f t="shared" si="73"/>
        <v>-11.711187136000945</v>
      </c>
      <c r="S311" s="4">
        <f t="shared" si="74"/>
        <v>573.82706995628484</v>
      </c>
    </row>
    <row r="312" spans="1:19" x14ac:dyDescent="0.5">
      <c r="A312" s="3"/>
      <c r="C312">
        <f t="shared" si="66"/>
        <v>56.579999999999615</v>
      </c>
      <c r="D312" s="23">
        <f t="shared" si="60"/>
        <v>3.0312138396519788</v>
      </c>
      <c r="E312" s="92">
        <f t="shared" si="67"/>
        <v>0</v>
      </c>
      <c r="F312" s="3">
        <f t="shared" si="68"/>
        <v>-15.217520751488887</v>
      </c>
      <c r="G312" s="4">
        <f t="shared" si="61"/>
        <v>-120.38335387638907</v>
      </c>
      <c r="I312" s="25">
        <f t="shared" si="62"/>
        <v>-15.796209219843149</v>
      </c>
      <c r="J312">
        <f t="shared" si="63"/>
        <v>-0.57868846835426169</v>
      </c>
      <c r="K312" s="4">
        <f t="shared" si="64"/>
        <v>-113.51590495442989</v>
      </c>
      <c r="M312" s="3">
        <f t="shared" si="69"/>
        <v>81.420000000000641</v>
      </c>
      <c r="N312">
        <f t="shared" si="70"/>
        <v>56.579999999999615</v>
      </c>
      <c r="O312">
        <f t="shared" si="71"/>
        <v>-15.21756879408187</v>
      </c>
      <c r="P312">
        <f t="shared" si="65"/>
        <v>-120.3951976620574</v>
      </c>
      <c r="Q312">
        <f t="shared" si="72"/>
        <v>-4.8042592982966426E-2</v>
      </c>
      <c r="R312">
        <f t="shared" si="73"/>
        <v>-11.843785668332885</v>
      </c>
      <c r="S312" s="4">
        <f t="shared" si="74"/>
        <v>574.67140553043748</v>
      </c>
    </row>
    <row r="313" spans="1:19" x14ac:dyDescent="0.5">
      <c r="A313" s="3"/>
      <c r="C313">
        <f t="shared" si="66"/>
        <v>57.269999999999612</v>
      </c>
      <c r="D313" s="23">
        <f t="shared" si="60"/>
        <v>3.104045428888405</v>
      </c>
      <c r="E313" s="92">
        <f t="shared" si="67"/>
        <v>0</v>
      </c>
      <c r="F313" s="3">
        <f t="shared" si="68"/>
        <v>-15.134456236912918</v>
      </c>
      <c r="G313" s="4">
        <f t="shared" si="61"/>
        <v>-121.58391225161536</v>
      </c>
      <c r="I313" s="25">
        <f t="shared" si="62"/>
        <v>-15.71788324508816</v>
      </c>
      <c r="J313">
        <f t="shared" si="63"/>
        <v>-0.58342700817524218</v>
      </c>
      <c r="K313" s="4">
        <f t="shared" si="64"/>
        <v>-114.89179906619273</v>
      </c>
      <c r="M313" s="3">
        <f t="shared" si="69"/>
        <v>80.730000000000643</v>
      </c>
      <c r="N313">
        <f t="shared" si="70"/>
        <v>57.269999999999612</v>
      </c>
      <c r="O313">
        <f t="shared" si="71"/>
        <v>-15.134496107293671</v>
      </c>
      <c r="P313">
        <f t="shared" si="65"/>
        <v>-121.59588381654443</v>
      </c>
      <c r="Q313">
        <f t="shared" si="72"/>
        <v>-3.9870380753370682E-2</v>
      </c>
      <c r="R313">
        <f t="shared" si="73"/>
        <v>-11.9715649290697</v>
      </c>
      <c r="S313" s="4">
        <f t="shared" si="74"/>
        <v>575.51620648975472</v>
      </c>
    </row>
    <row r="314" spans="1:19" x14ac:dyDescent="0.5">
      <c r="A314" s="3"/>
      <c r="C314">
        <f t="shared" si="66"/>
        <v>57.95999999999961</v>
      </c>
      <c r="D314" s="23">
        <f t="shared" si="60"/>
        <v>3.1777054034158589</v>
      </c>
      <c r="E314" s="92">
        <f t="shared" si="67"/>
        <v>0</v>
      </c>
      <c r="F314" s="3">
        <f t="shared" si="68"/>
        <v>-15.050563337045917</v>
      </c>
      <c r="G314" s="4">
        <f t="shared" si="61"/>
        <v>-122.78271308609079</v>
      </c>
      <c r="I314" s="25">
        <f t="shared" si="62"/>
        <v>-15.638607903383672</v>
      </c>
      <c r="J314">
        <f t="shared" si="63"/>
        <v>-0.58804456633775537</v>
      </c>
      <c r="K314" s="4">
        <f t="shared" si="64"/>
        <v>-116.26786189537603</v>
      </c>
      <c r="M314" s="3">
        <f t="shared" si="69"/>
        <v>80.040000000000646</v>
      </c>
      <c r="N314">
        <f t="shared" si="70"/>
        <v>57.95999999999961</v>
      </c>
      <c r="O314">
        <f t="shared" si="71"/>
        <v>-15.050594947046747</v>
      </c>
      <c r="P314">
        <f t="shared" si="65"/>
        <v>-122.79480748232356</v>
      </c>
      <c r="Q314">
        <f t="shared" si="72"/>
        <v>-3.1610000830184504E-2</v>
      </c>
      <c r="R314">
        <f t="shared" si="73"/>
        <v>-12.094396232768645</v>
      </c>
      <c r="S314" s="4">
        <f t="shared" si="74"/>
        <v>576.36146348909142</v>
      </c>
    </row>
    <row r="315" spans="1:19" x14ac:dyDescent="0.5">
      <c r="A315" s="3"/>
      <c r="C315">
        <f t="shared" si="66"/>
        <v>58.649999999999608</v>
      </c>
      <c r="D315" s="23">
        <f t="shared" si="60"/>
        <v>3.2521925505314546</v>
      </c>
      <c r="E315" s="92">
        <f t="shared" si="67"/>
        <v>0</v>
      </c>
      <c r="F315" s="3">
        <f t="shared" si="68"/>
        <v>-14.965843264590779</v>
      </c>
      <c r="G315" s="4">
        <f t="shared" si="61"/>
        <v>-123.97976070790425</v>
      </c>
      <c r="I315" s="25">
        <f t="shared" si="62"/>
        <v>-15.558383078314364</v>
      </c>
      <c r="J315">
        <f t="shared" si="63"/>
        <v>-0.59253981372358488</v>
      </c>
      <c r="K315" s="4">
        <f t="shared" si="64"/>
        <v>-117.64367164733591</v>
      </c>
      <c r="M315" s="3">
        <f t="shared" si="69"/>
        <v>79.350000000000648</v>
      </c>
      <c r="N315">
        <f t="shared" si="70"/>
        <v>58.649999999999608</v>
      </c>
      <c r="O315">
        <f t="shared" si="71"/>
        <v>-14.965866529458083</v>
      </c>
      <c r="P315">
        <f t="shared" si="65"/>
        <v>-123.99197287888387</v>
      </c>
      <c r="Q315">
        <f t="shared" si="72"/>
        <v>-2.3264867303751657E-2</v>
      </c>
      <c r="R315">
        <f t="shared" si="73"/>
        <v>-12.212170979623238</v>
      </c>
      <c r="S315" s="4">
        <f t="shared" si="74"/>
        <v>577.20718202074352</v>
      </c>
    </row>
    <row r="316" spans="1:19" x14ac:dyDescent="0.5">
      <c r="A316" s="3"/>
      <c r="C316">
        <f t="shared" si="66"/>
        <v>59.339999999999606</v>
      </c>
      <c r="D316" s="23">
        <f t="shared" si="60"/>
        <v>3.3275056605186708</v>
      </c>
      <c r="E316" s="92">
        <f t="shared" si="67"/>
        <v>0</v>
      </c>
      <c r="F316" s="3">
        <f t="shared" si="68"/>
        <v>-14.880297229264016</v>
      </c>
      <c r="G316" s="4">
        <f t="shared" si="61"/>
        <v>-125.1750594301666</v>
      </c>
      <c r="I316" s="25">
        <f t="shared" si="62"/>
        <v>-15.477208944503218</v>
      </c>
      <c r="J316">
        <f t="shared" si="63"/>
        <v>-0.59691171523920161</v>
      </c>
      <c r="K316" s="4">
        <f t="shared" si="64"/>
        <v>-119.01965011670578</v>
      </c>
      <c r="M316" s="3">
        <f t="shared" si="69"/>
        <v>78.66000000000065</v>
      </c>
      <c r="N316">
        <f t="shared" si="70"/>
        <v>59.339999999999606</v>
      </c>
      <c r="O316">
        <f t="shared" si="71"/>
        <v>-14.880312067733215</v>
      </c>
      <c r="P316">
        <f t="shared" si="65"/>
        <v>-125.18738419997031</v>
      </c>
      <c r="Q316">
        <f t="shared" si="72"/>
        <v>-1.4838469198252824E-2</v>
      </c>
      <c r="R316">
        <f t="shared" si="73"/>
        <v>-12.324769803711888</v>
      </c>
      <c r="S316" s="4">
        <f t="shared" si="74"/>
        <v>578.0533564522641</v>
      </c>
    </row>
    <row r="317" spans="1:19" x14ac:dyDescent="0.5">
      <c r="A317" s="3"/>
      <c r="C317">
        <f t="shared" si="66"/>
        <v>60.029999999999603</v>
      </c>
      <c r="D317" s="23">
        <f t="shared" si="60"/>
        <v>3.4036435266370506</v>
      </c>
      <c r="E317" s="92">
        <f t="shared" si="67"/>
        <v>0</v>
      </c>
      <c r="F317" s="3">
        <f t="shared" si="68"/>
        <v>-14.793926437806093</v>
      </c>
      <c r="G317" s="4">
        <f t="shared" si="61"/>
        <v>-126.36861355116777</v>
      </c>
      <c r="I317" s="25">
        <f t="shared" si="62"/>
        <v>-15.395085385534912</v>
      </c>
      <c r="J317">
        <f t="shared" si="63"/>
        <v>-0.60115894772881973</v>
      </c>
      <c r="K317" s="4">
        <f t="shared" si="64"/>
        <v>-120.39562858562495</v>
      </c>
      <c r="M317" s="3">
        <f t="shared" si="69"/>
        <v>77.970000000000653</v>
      </c>
      <c r="N317">
        <f t="shared" si="70"/>
        <v>60.029999999999603</v>
      </c>
      <c r="O317">
        <f t="shared" si="71"/>
        <v>-14.793932772183993</v>
      </c>
      <c r="P317">
        <f t="shared" si="65"/>
        <v>-126.38104563675323</v>
      </c>
      <c r="Q317">
        <f t="shared" si="72"/>
        <v>-6.3343779004298995E-3</v>
      </c>
      <c r="R317">
        <f t="shared" si="73"/>
        <v>-12.432085585459163</v>
      </c>
      <c r="S317" s="4">
        <f t="shared" si="74"/>
        <v>578.89999361930938</v>
      </c>
    </row>
    <row r="318" spans="1:19" x14ac:dyDescent="0.5">
      <c r="A318" s="3"/>
      <c r="C318">
        <f t="shared" si="66"/>
        <v>60.719999999999601</v>
      </c>
      <c r="D318" s="23">
        <f t="shared" si="60"/>
        <v>3.4806049451119496</v>
      </c>
      <c r="E318" s="92">
        <f t="shared" si="67"/>
        <v>0</v>
      </c>
      <c r="F318" s="3">
        <f t="shared" si="68"/>
        <v>-14.706732093991651</v>
      </c>
      <c r="G318" s="4">
        <f t="shared" si="61"/>
        <v>-127.56042735439215</v>
      </c>
      <c r="I318" s="25">
        <f t="shared" si="62"/>
        <v>-15.312012401409447</v>
      </c>
      <c r="J318">
        <f t="shared" si="63"/>
        <v>-0.60528030741779659</v>
      </c>
      <c r="K318" s="4">
        <f t="shared" si="64"/>
        <v>-121.77160705408822</v>
      </c>
      <c r="M318" s="3">
        <f t="shared" si="69"/>
        <v>77.280000000000655</v>
      </c>
      <c r="N318">
        <f t="shared" si="70"/>
        <v>60.719999999999601</v>
      </c>
      <c r="O318">
        <f t="shared" si="71"/>
        <v>-14.70672985023036</v>
      </c>
      <c r="P318">
        <f t="shared" si="65"/>
        <v>-127.57296135208445</v>
      </c>
      <c r="Q318">
        <f t="shared" si="72"/>
        <v>2.2437612905434889E-3</v>
      </c>
      <c r="R318">
        <f t="shared" si="73"/>
        <v>-12.533997692301568</v>
      </c>
      <c r="S318" s="4">
        <f t="shared" si="74"/>
        <v>579.7470891823682</v>
      </c>
    </row>
    <row r="319" spans="1:19" x14ac:dyDescent="0.5">
      <c r="A319" s="3"/>
      <c r="C319">
        <f t="shared" si="66"/>
        <v>61.409999999999599</v>
      </c>
      <c r="D319" s="23">
        <f t="shared" si="60"/>
        <v>3.5583887151243259</v>
      </c>
      <c r="E319" s="92">
        <f t="shared" si="67"/>
        <v>0</v>
      </c>
      <c r="F319" s="3">
        <f t="shared" si="68"/>
        <v>-14.618715398639727</v>
      </c>
      <c r="G319" s="4">
        <f t="shared" si="61"/>
        <v>-128.75050510858298</v>
      </c>
      <c r="I319" s="25">
        <f t="shared" si="62"/>
        <v>-15.227989992126822</v>
      </c>
      <c r="J319">
        <f t="shared" si="63"/>
        <v>-0.60927459348709512</v>
      </c>
      <c r="K319" s="4">
        <f t="shared" si="64"/>
        <v>-123.14750116316283</v>
      </c>
      <c r="M319" s="3">
        <f t="shared" si="69"/>
        <v>76.590000000000657</v>
      </c>
      <c r="N319">
        <f t="shared" si="70"/>
        <v>61.409999999999599</v>
      </c>
      <c r="O319">
        <f t="shared" si="71"/>
        <v>-14.618704506419888</v>
      </c>
      <c r="P319">
        <f t="shared" si="65"/>
        <v>-128.76313550366686</v>
      </c>
      <c r="Q319">
        <f t="shared" si="72"/>
        <v>1.0892219838964934E-2</v>
      </c>
      <c r="R319">
        <f t="shared" si="73"/>
        <v>-12.630395083874646</v>
      </c>
      <c r="S319" s="4">
        <f t="shared" si="74"/>
        <v>580.59464381230987</v>
      </c>
    </row>
    <row r="320" spans="1:19" x14ac:dyDescent="0.5">
      <c r="A320" s="3"/>
      <c r="C320">
        <f t="shared" si="66"/>
        <v>62.099999999999596</v>
      </c>
      <c r="D320" s="23">
        <f t="shared" si="60"/>
        <v>3.6369936388005835</v>
      </c>
      <c r="E320" s="92">
        <f t="shared" si="67"/>
        <v>0</v>
      </c>
      <c r="F320" s="3">
        <f t="shared" si="68"/>
        <v>-14.529877549623926</v>
      </c>
      <c r="G320" s="4">
        <f t="shared" si="61"/>
        <v>-129.93885106785044</v>
      </c>
      <c r="I320" s="25">
        <f t="shared" si="62"/>
        <v>-15.143018215894699</v>
      </c>
      <c r="J320">
        <f t="shared" si="63"/>
        <v>-0.61314066627077324</v>
      </c>
      <c r="K320" s="4">
        <f t="shared" si="64"/>
        <v>-124.52347963069872</v>
      </c>
      <c r="M320" s="3">
        <f t="shared" si="69"/>
        <v>75.900000000000659</v>
      </c>
      <c r="N320">
        <f t="shared" si="70"/>
        <v>62.099999999999596</v>
      </c>
      <c r="O320">
        <f t="shared" si="71"/>
        <v>-14.529857942431335</v>
      </c>
      <c r="P320">
        <f t="shared" si="65"/>
        <v>-129.95157223375674</v>
      </c>
      <c r="Q320">
        <f t="shared" si="72"/>
        <v>1.9607192591308831E-2</v>
      </c>
      <c r="R320">
        <f t="shared" si="73"/>
        <v>-12.721165906299348</v>
      </c>
      <c r="S320" s="4">
        <f t="shared" si="74"/>
        <v>581.44266452521788</v>
      </c>
    </row>
    <row r="321" spans="1:19" x14ac:dyDescent="0.5">
      <c r="A321" s="3"/>
      <c r="C321">
        <f t="shared" si="66"/>
        <v>62.789999999999594</v>
      </c>
      <c r="D321" s="23">
        <f t="shared" si="60"/>
        <v>3.7164185212024523</v>
      </c>
      <c r="E321" s="92">
        <f t="shared" si="67"/>
        <v>0</v>
      </c>
      <c r="F321" s="3">
        <f t="shared" si="68"/>
        <v>-14.440219741882512</v>
      </c>
      <c r="G321" s="4">
        <f t="shared" si="61"/>
        <v>-131.12546947168192</v>
      </c>
      <c r="I321" s="25">
        <f t="shared" si="62"/>
        <v>-15.057097014505416</v>
      </c>
      <c r="J321">
        <f t="shared" si="63"/>
        <v>-0.61687727262290437</v>
      </c>
      <c r="K321" s="4">
        <f t="shared" si="64"/>
        <v>-125.8994580977631</v>
      </c>
      <c r="M321" s="3">
        <f t="shared" si="69"/>
        <v>75.210000000000662</v>
      </c>
      <c r="N321">
        <f t="shared" si="70"/>
        <v>62.789999999999594</v>
      </c>
      <c r="O321">
        <f t="shared" si="71"/>
        <v>-14.440191357085297</v>
      </c>
      <c r="P321">
        <f t="shared" si="65"/>
        <v>-131.13827565629182</v>
      </c>
      <c r="Q321">
        <f t="shared" si="72"/>
        <v>2.8384797214897617E-2</v>
      </c>
      <c r="R321">
        <f t="shared" si="73"/>
        <v>-12.806184609900129</v>
      </c>
      <c r="S321" s="4">
        <f t="shared" si="74"/>
        <v>582.2911445340726</v>
      </c>
    </row>
    <row r="322" spans="1:19" x14ac:dyDescent="0.5">
      <c r="A322" s="3"/>
      <c r="C322">
        <f t="shared" si="66"/>
        <v>63.479999999999592</v>
      </c>
      <c r="D322" s="23">
        <f t="shared" si="60"/>
        <v>3.7966621703169161</v>
      </c>
      <c r="E322" s="92">
        <f t="shared" si="67"/>
        <v>0</v>
      </c>
      <c r="F322" s="3">
        <f t="shared" si="68"/>
        <v>-14.349743167428503</v>
      </c>
      <c r="G322" s="4">
        <f t="shared" si="61"/>
        <v>-132.31036454504519</v>
      </c>
      <c r="I322" s="25">
        <f t="shared" si="62"/>
        <v>-14.970226387958974</v>
      </c>
      <c r="J322">
        <f t="shared" si="63"/>
        <v>-0.62048322053047045</v>
      </c>
      <c r="K322" s="4">
        <f t="shared" si="64"/>
        <v>-127.2753522054232</v>
      </c>
      <c r="M322" s="3">
        <f t="shared" si="69"/>
        <v>74.520000000000664</v>
      </c>
      <c r="N322">
        <f t="shared" si="70"/>
        <v>63.479999999999592</v>
      </c>
      <c r="O322">
        <f t="shared" si="71"/>
        <v>-14.349705946363756</v>
      </c>
      <c r="P322">
        <f t="shared" si="65"/>
        <v>-132.32324988520975</v>
      </c>
      <c r="Q322">
        <f t="shared" si="72"/>
        <v>3.7221064747683386E-2</v>
      </c>
      <c r="R322">
        <f t="shared" si="73"/>
        <v>-12.885340164558556</v>
      </c>
      <c r="S322" s="4">
        <f t="shared" si="74"/>
        <v>583.14007700247521</v>
      </c>
    </row>
    <row r="323" spans="1:19" x14ac:dyDescent="0.5">
      <c r="A323" s="3"/>
      <c r="C323">
        <f t="shared" si="66"/>
        <v>64.16999999999959</v>
      </c>
      <c r="D323" s="23">
        <f t="shared" si="60"/>
        <v>3.8777233970461862</v>
      </c>
      <c r="E323" s="92">
        <f t="shared" si="67"/>
        <v>0</v>
      </c>
      <c r="F323" s="3">
        <f t="shared" si="68"/>
        <v>-14.258449015359689</v>
      </c>
      <c r="G323" s="4">
        <f t="shared" si="61"/>
        <v>-133.493540498437</v>
      </c>
      <c r="I323" s="25">
        <f t="shared" si="62"/>
        <v>-14.882406394463032</v>
      </c>
      <c r="J323">
        <f t="shared" si="63"/>
        <v>-0.62395737910334326</v>
      </c>
      <c r="K323" s="4">
        <f t="shared" si="64"/>
        <v>-128.65133067152891</v>
      </c>
      <c r="M323" s="3">
        <f t="shared" si="69"/>
        <v>73.830000000000666</v>
      </c>
      <c r="N323">
        <f t="shared" si="70"/>
        <v>64.16999999999959</v>
      </c>
      <c r="O323">
        <f t="shared" si="71"/>
        <v>-14.258402903410072</v>
      </c>
      <c r="P323">
        <f t="shared" si="65"/>
        <v>-133.50649903444815</v>
      </c>
      <c r="Q323">
        <f t="shared" si="72"/>
        <v>4.6111949616900461E-2</v>
      </c>
      <c r="R323">
        <f t="shared" si="73"/>
        <v>-12.95853601115482</v>
      </c>
      <c r="S323" s="4">
        <f t="shared" si="74"/>
        <v>583.98948940082653</v>
      </c>
    </row>
    <row r="324" spans="1:19" x14ac:dyDescent="0.5">
      <c r="A324" s="3"/>
      <c r="C324">
        <f t="shared" si="66"/>
        <v>64.859999999999587</v>
      </c>
      <c r="D324" s="23">
        <f t="shared" si="60"/>
        <v>3.9596010151977175</v>
      </c>
      <c r="E324" s="92">
        <f t="shared" si="67"/>
        <v>0</v>
      </c>
      <c r="F324" s="3">
        <f t="shared" si="68"/>
        <v>-14.166338471868615</v>
      </c>
      <c r="G324" s="4">
        <f t="shared" si="61"/>
        <v>-134.67500152795543</v>
      </c>
      <c r="I324" s="25">
        <f t="shared" si="62"/>
        <v>-14.793636975809932</v>
      </c>
      <c r="J324">
        <f t="shared" si="63"/>
        <v>-0.62729850394131681</v>
      </c>
      <c r="K324" s="4">
        <f t="shared" si="64"/>
        <v>-130.02730913714751</v>
      </c>
      <c r="M324" s="3">
        <f t="shared" si="69"/>
        <v>73.140000000000668</v>
      </c>
      <c r="N324">
        <f t="shared" si="70"/>
        <v>64.859999999999587</v>
      </c>
      <c r="O324">
        <f t="shared" si="71"/>
        <v>-14.166283418528991</v>
      </c>
      <c r="P324">
        <f t="shared" si="65"/>
        <v>-134.68802714843517</v>
      </c>
      <c r="Q324">
        <f t="shared" si="72"/>
        <v>5.505333962396719E-2</v>
      </c>
      <c r="R324">
        <f t="shared" si="73"/>
        <v>-13.025620479737654</v>
      </c>
      <c r="S324" s="4">
        <f t="shared" si="74"/>
        <v>584.83934574230125</v>
      </c>
    </row>
    <row r="325" spans="1:19" x14ac:dyDescent="0.5">
      <c r="A325" s="3"/>
      <c r="C325">
        <f t="shared" si="66"/>
        <v>65.549999999999585</v>
      </c>
      <c r="D325" s="23">
        <f t="shared" si="60"/>
        <v>4.0422938414742671</v>
      </c>
      <c r="E325" s="92">
        <f t="shared" si="67"/>
        <v>0</v>
      </c>
      <c r="F325" s="3">
        <f t="shared" si="68"/>
        <v>-14.073412720252517</v>
      </c>
      <c r="G325" s="4">
        <f t="shared" si="61"/>
        <v>-135.85475181533326</v>
      </c>
      <c r="I325" s="25">
        <f t="shared" si="62"/>
        <v>-14.703918131999671</v>
      </c>
      <c r="J325">
        <f t="shared" si="63"/>
        <v>-0.63050541174715491</v>
      </c>
      <c r="K325" s="4">
        <f t="shared" si="64"/>
        <v>-131.4032032433463</v>
      </c>
      <c r="M325" s="3">
        <f t="shared" si="69"/>
        <v>72.450000000000671</v>
      </c>
      <c r="N325">
        <f t="shared" si="70"/>
        <v>65.549999999999585</v>
      </c>
      <c r="O325">
        <f t="shared" si="71"/>
        <v>-14.073348679234599</v>
      </c>
      <c r="P325">
        <f t="shared" si="65"/>
        <v>-135.86783833081077</v>
      </c>
      <c r="Q325">
        <f t="shared" si="72"/>
        <v>6.4041017918015086E-2</v>
      </c>
      <c r="R325">
        <f t="shared" si="73"/>
        <v>-13.086515477510829</v>
      </c>
      <c r="S325" s="4">
        <f t="shared" si="74"/>
        <v>585.68968388256849</v>
      </c>
    </row>
    <row r="326" spans="1:19" x14ac:dyDescent="0.5">
      <c r="A326" s="3"/>
      <c r="C326">
        <f t="shared" si="66"/>
        <v>66.239999999999583</v>
      </c>
      <c r="D326" s="23">
        <f t="shared" si="60"/>
        <v>4.125800695464009</v>
      </c>
      <c r="E326" s="92">
        <f t="shared" si="67"/>
        <v>0</v>
      </c>
      <c r="F326" s="3">
        <f t="shared" si="68"/>
        <v>-13.979672940923233</v>
      </c>
      <c r="G326" s="4">
        <f t="shared" si="61"/>
        <v>-137.03279552806151</v>
      </c>
      <c r="I326" s="25">
        <f t="shared" si="62"/>
        <v>-14.613249921239913</v>
      </c>
      <c r="J326">
        <f t="shared" si="63"/>
        <v>-0.63357698031667908</v>
      </c>
      <c r="K326" s="4">
        <f t="shared" si="64"/>
        <v>-132.77918170797494</v>
      </c>
      <c r="M326" s="3">
        <f t="shared" si="69"/>
        <v>71.760000000000673</v>
      </c>
      <c r="N326">
        <f t="shared" si="70"/>
        <v>66.239999999999583</v>
      </c>
      <c r="O326">
        <f t="shared" si="71"/>
        <v>-13.979599870209469</v>
      </c>
      <c r="P326">
        <f t="shared" si="65"/>
        <v>-137.04593659510996</v>
      </c>
      <c r="Q326">
        <f t="shared" si="72"/>
        <v>7.3070713764167294E-2</v>
      </c>
      <c r="R326">
        <f t="shared" si="73"/>
        <v>-13.141067048451305</v>
      </c>
      <c r="S326" s="4">
        <f t="shared" si="74"/>
        <v>586.54046641660682</v>
      </c>
    </row>
    <row r="327" spans="1:19" x14ac:dyDescent="0.5">
      <c r="A327" s="3"/>
      <c r="C327">
        <f t="shared" si="66"/>
        <v>66.92999999999958</v>
      </c>
      <c r="D327" s="23">
        <f t="shared" si="60"/>
        <v>4.2101203996306618</v>
      </c>
      <c r="E327" s="92">
        <f t="shared" si="67"/>
        <v>0</v>
      </c>
      <c r="F327" s="3">
        <f t="shared" si="68"/>
        <v>-13.885120311417035</v>
      </c>
      <c r="G327" s="4">
        <f t="shared" si="61"/>
        <v>-138.2091368193895</v>
      </c>
      <c r="I327" s="25">
        <f t="shared" si="62"/>
        <v>-14.521632285322994</v>
      </c>
      <c r="J327">
        <f t="shared" si="63"/>
        <v>-0.63651197390595904</v>
      </c>
      <c r="K327" s="4">
        <f t="shared" si="64"/>
        <v>-134.15507581317345</v>
      </c>
      <c r="M327" s="3">
        <f t="shared" si="69"/>
        <v>71.070000000000675</v>
      </c>
      <c r="N327">
        <f t="shared" si="70"/>
        <v>66.92999999999958</v>
      </c>
      <c r="O327">
        <f t="shared" si="71"/>
        <v>-13.885038173366837</v>
      </c>
      <c r="P327">
        <f t="shared" si="65"/>
        <v>-138.22232601665399</v>
      </c>
      <c r="Q327">
        <f t="shared" si="72"/>
        <v>8.213805019785525E-2</v>
      </c>
      <c r="R327">
        <f t="shared" si="73"/>
        <v>-13.189197264495078</v>
      </c>
      <c r="S327" s="4">
        <f t="shared" si="74"/>
        <v>587.39172633594796</v>
      </c>
    </row>
    <row r="328" spans="1:19" x14ac:dyDescent="0.5">
      <c r="A328" s="3"/>
      <c r="C328">
        <f t="shared" si="66"/>
        <v>67.619999999999578</v>
      </c>
      <c r="D328" s="23">
        <f t="shared" si="60"/>
        <v>4.2952517793037046</v>
      </c>
      <c r="E328" s="92">
        <f t="shared" si="67"/>
        <v>0</v>
      </c>
      <c r="F328" s="3">
        <f t="shared" si="68"/>
        <v>-13.789756006404447</v>
      </c>
      <c r="G328" s="4">
        <f t="shared" si="61"/>
        <v>-139.38377982842269</v>
      </c>
      <c r="I328" s="25">
        <f t="shared" si="62"/>
        <v>-14.429065282456577</v>
      </c>
      <c r="J328">
        <f t="shared" si="63"/>
        <v>-0.6393092760521295</v>
      </c>
      <c r="K328" s="4">
        <f t="shared" si="64"/>
        <v>-135.53113863571866</v>
      </c>
      <c r="M328" s="3">
        <f t="shared" si="69"/>
        <v>70.380000000000678</v>
      </c>
      <c r="N328">
        <f t="shared" si="70"/>
        <v>67.619999999999578</v>
      </c>
      <c r="O328">
        <f t="shared" si="71"/>
        <v>-13.789664767807963</v>
      </c>
      <c r="P328">
        <f t="shared" si="65"/>
        <v>-139.39701059095691</v>
      </c>
      <c r="Q328">
        <f t="shared" si="72"/>
        <v>9.1238596484188861E-2</v>
      </c>
      <c r="R328">
        <f t="shared" si="73"/>
        <v>-13.23076253422073</v>
      </c>
      <c r="S328" s="4">
        <f t="shared" si="74"/>
        <v>588.24344282158984</v>
      </c>
    </row>
    <row r="329" spans="1:19" x14ac:dyDescent="0.5">
      <c r="A329" s="3"/>
      <c r="C329">
        <f t="shared" si="66"/>
        <v>68.309999999999576</v>
      </c>
      <c r="D329" s="23">
        <f t="shared" si="60"/>
        <v>4.3811936626685952</v>
      </c>
      <c r="E329" s="92">
        <f t="shared" si="67"/>
        <v>0</v>
      </c>
      <c r="F329" s="3">
        <f t="shared" si="68"/>
        <v>-13.693581197700013</v>
      </c>
      <c r="G329" s="4">
        <f t="shared" si="61"/>
        <v>-140.55672868017908</v>
      </c>
      <c r="I329" s="25">
        <f t="shared" si="62"/>
        <v>-14.335548796225339</v>
      </c>
      <c r="J329">
        <f t="shared" si="63"/>
        <v>-0.64196759852532637</v>
      </c>
      <c r="K329" s="4">
        <f t="shared" si="64"/>
        <v>-136.90703273989604</v>
      </c>
      <c r="M329" s="3">
        <f t="shared" si="69"/>
        <v>69.69000000000068</v>
      </c>
      <c r="N329">
        <f t="shared" si="70"/>
        <v>68.309999999999576</v>
      </c>
      <c r="O329">
        <f t="shared" si="71"/>
        <v>-13.693480829877203</v>
      </c>
      <c r="P329">
        <f t="shared" si="65"/>
        <v>-140.56999434185147</v>
      </c>
      <c r="Q329">
        <f t="shared" si="72"/>
        <v>0.10036782281019896</v>
      </c>
      <c r="R329">
        <f t="shared" si="73"/>
        <v>-13.265661672392071</v>
      </c>
      <c r="S329" s="4">
        <f t="shared" si="74"/>
        <v>589.09562721174814</v>
      </c>
    </row>
    <row r="330" spans="1:19" x14ac:dyDescent="0.5">
      <c r="A330" s="3"/>
      <c r="C330">
        <f t="shared" si="66"/>
        <v>68.999999999999574</v>
      </c>
      <c r="D330" s="23">
        <f t="shared" si="60"/>
        <v>4.4679448807570532</v>
      </c>
      <c r="E330" s="92">
        <f t="shared" si="67"/>
        <v>0</v>
      </c>
      <c r="F330" s="3">
        <f t="shared" si="68"/>
        <v>-13.59659705427201</v>
      </c>
      <c r="G330" s="4">
        <f t="shared" si="61"/>
        <v>-141.72798748563864</v>
      </c>
      <c r="I330" s="25">
        <f t="shared" si="62"/>
        <v>-14.241082943044603</v>
      </c>
      <c r="J330">
        <f t="shared" si="63"/>
        <v>-0.64448588877259283</v>
      </c>
      <c r="K330" s="4">
        <f t="shared" si="64"/>
        <v>-138.28292684355509</v>
      </c>
      <c r="M330" s="3">
        <f t="shared" si="69"/>
        <v>69.000000000000682</v>
      </c>
      <c r="N330">
        <f t="shared" si="70"/>
        <v>68.999999999999574</v>
      </c>
      <c r="O330">
        <f t="shared" si="71"/>
        <v>-13.596487533142465</v>
      </c>
      <c r="P330">
        <f t="shared" si="65"/>
        <v>-141.74128125712843</v>
      </c>
      <c r="Q330">
        <f t="shared" si="72"/>
        <v>0.10952112954498716</v>
      </c>
      <c r="R330">
        <f t="shared" si="73"/>
        <v>-13.293771489799155</v>
      </c>
      <c r="S330" s="4">
        <f t="shared" si="74"/>
        <v>589.94827412480436</v>
      </c>
    </row>
    <row r="331" spans="1:19" x14ac:dyDescent="0.5">
      <c r="A331" s="3"/>
      <c r="C331">
        <f t="shared" si="66"/>
        <v>69.689999999999571</v>
      </c>
      <c r="D331" s="23">
        <f t="shared" si="60"/>
        <v>4.5555042674373798</v>
      </c>
      <c r="E331" s="92">
        <f t="shared" si="67"/>
        <v>0</v>
      </c>
      <c r="F331" s="3">
        <f t="shared" si="68"/>
        <v>-13.49880474225214</v>
      </c>
      <c r="G331" s="4">
        <f t="shared" si="61"/>
        <v>-142.89756034183543</v>
      </c>
      <c r="I331" s="25">
        <f t="shared" si="62"/>
        <v>-14.145667722914368</v>
      </c>
      <c r="J331">
        <f t="shared" si="63"/>
        <v>-0.64686298066222747</v>
      </c>
      <c r="K331" s="4">
        <f t="shared" si="64"/>
        <v>-139.65890530561774</v>
      </c>
      <c r="M331" s="3">
        <f t="shared" si="69"/>
        <v>68.310000000000684</v>
      </c>
      <c r="N331">
        <f t="shared" si="70"/>
        <v>69.689999999999571</v>
      </c>
      <c r="O331">
        <f t="shared" si="71"/>
        <v>-13.498686048420083</v>
      </c>
      <c r="P331">
        <f t="shared" si="65"/>
        <v>-142.91087532200407</v>
      </c>
      <c r="Q331">
        <f t="shared" si="72"/>
        <v>0.11869383205720396</v>
      </c>
      <c r="R331">
        <f t="shared" si="73"/>
        <v>-13.314980168644297</v>
      </c>
      <c r="S331" s="4">
        <f t="shared" si="74"/>
        <v>590.80138856430472</v>
      </c>
    </row>
    <row r="332" spans="1:19" x14ac:dyDescent="0.5">
      <c r="A332" s="3"/>
      <c r="C332">
        <f t="shared" si="66"/>
        <v>70.379999999999569</v>
      </c>
      <c r="D332" s="23">
        <f t="shared" si="60"/>
        <v>4.643870659404822</v>
      </c>
      <c r="E332" s="92">
        <f t="shared" si="67"/>
        <v>0</v>
      </c>
      <c r="F332" s="3">
        <f t="shared" si="68"/>
        <v>-13.400205424945151</v>
      </c>
      <c r="G332" s="4">
        <f t="shared" si="61"/>
        <v>-144.06545133186299</v>
      </c>
      <c r="I332" s="25">
        <f t="shared" si="62"/>
        <v>-14.049303077626973</v>
      </c>
      <c r="J332">
        <f t="shared" si="63"/>
        <v>-0.64909765268182262</v>
      </c>
      <c r="K332" s="4">
        <f t="shared" si="64"/>
        <v>-141.0348837671516</v>
      </c>
      <c r="M332" s="3">
        <f t="shared" si="69"/>
        <v>67.620000000000687</v>
      </c>
      <c r="N332">
        <f t="shared" si="70"/>
        <v>70.379999999999569</v>
      </c>
      <c r="O332">
        <f t="shared" si="71"/>
        <v>-13.40007754377659</v>
      </c>
      <c r="P332">
        <f t="shared" si="65"/>
        <v>-144.07878049852499</v>
      </c>
      <c r="Q332">
        <f t="shared" si="72"/>
        <v>0.1278811685612169</v>
      </c>
      <c r="R332">
        <f t="shared" si="73"/>
        <v>-13.3291666620039</v>
      </c>
      <c r="S332" s="4">
        <f t="shared" si="74"/>
        <v>591.65496386656787</v>
      </c>
    </row>
    <row r="333" spans="1:19" x14ac:dyDescent="0.5">
      <c r="A333" s="3"/>
      <c r="C333">
        <f t="shared" si="66"/>
        <v>71.069999999999567</v>
      </c>
      <c r="D333" s="23">
        <f t="shared" si="60"/>
        <v>4.7330428961719777</v>
      </c>
      <c r="E333" s="92">
        <f t="shared" si="67"/>
        <v>0</v>
      </c>
      <c r="F333" s="3">
        <f t="shared" si="68"/>
        <v>-13.300800262838452</v>
      </c>
      <c r="G333" s="4">
        <f t="shared" si="61"/>
        <v>-145.2316645250084</v>
      </c>
      <c r="I333" s="25">
        <f t="shared" si="62"/>
        <v>-13.951989007182419</v>
      </c>
      <c r="J333">
        <f t="shared" si="63"/>
        <v>-0.65118874434396723</v>
      </c>
      <c r="K333" s="4">
        <f t="shared" si="64"/>
        <v>-142.41086222815139</v>
      </c>
      <c r="M333" s="3">
        <f t="shared" si="69"/>
        <v>66.930000000000689</v>
      </c>
      <c r="N333">
        <f t="shared" si="70"/>
        <v>71.069999999999567</v>
      </c>
      <c r="O333">
        <f t="shared" si="71"/>
        <v>-13.300663184544703</v>
      </c>
      <c r="P333">
        <f t="shared" si="65"/>
        <v>-145.2450007487376</v>
      </c>
      <c r="Q333">
        <f t="shared" si="72"/>
        <v>0.13707829374887126</v>
      </c>
      <c r="R333">
        <f t="shared" si="73"/>
        <v>-13.336223729197627</v>
      </c>
      <c r="S333" s="4">
        <f t="shared" si="74"/>
        <v>592.50901296747861</v>
      </c>
    </row>
    <row r="334" spans="1:19" x14ac:dyDescent="0.5">
      <c r="A334" s="3"/>
      <c r="C334">
        <f t="shared" si="66"/>
        <v>71.759999999999565</v>
      </c>
      <c r="D334" s="23">
        <f t="shared" si="60"/>
        <v>4.8230198200592378</v>
      </c>
      <c r="E334" s="92">
        <f t="shared" si="67"/>
        <v>0</v>
      </c>
      <c r="F334" s="3">
        <f t="shared" si="68"/>
        <v>-13.200590413611646</v>
      </c>
      <c r="G334" s="4">
        <f t="shared" si="61"/>
        <v>-146.39620397674423</v>
      </c>
      <c r="I334" s="25">
        <f t="shared" si="62"/>
        <v>-13.853725511580706</v>
      </c>
      <c r="J334">
        <f t="shared" si="63"/>
        <v>-0.65313509796905933</v>
      </c>
      <c r="K334" s="4">
        <f t="shared" si="64"/>
        <v>-143.78675632968483</v>
      </c>
      <c r="M334" s="3">
        <f t="shared" si="69"/>
        <v>66.240000000000691</v>
      </c>
      <c r="N334">
        <f t="shared" si="70"/>
        <v>71.759999999999565</v>
      </c>
      <c r="O334">
        <f t="shared" si="71"/>
        <v>-13.20044413332333</v>
      </c>
      <c r="P334">
        <f t="shared" si="65"/>
        <v>-146.409539996072</v>
      </c>
      <c r="Q334">
        <f t="shared" si="72"/>
        <v>0.14628028831609186</v>
      </c>
      <c r="R334">
        <f t="shared" si="73"/>
        <v>-13.336019327766735</v>
      </c>
      <c r="S334" s="4">
        <f t="shared" si="74"/>
        <v>593.3635187681856</v>
      </c>
    </row>
    <row r="335" spans="1:19" x14ac:dyDescent="0.5">
      <c r="A335" s="3"/>
      <c r="C335">
        <f t="shared" si="66"/>
        <v>72.449999999999562</v>
      </c>
      <c r="D335" s="23">
        <f t="shared" si="60"/>
        <v>4.9138002761852801</v>
      </c>
      <c r="E335" s="92">
        <f t="shared" si="67"/>
        <v>0</v>
      </c>
      <c r="F335" s="3">
        <f t="shared" si="68"/>
        <v>-13.099577032146058</v>
      </c>
      <c r="G335" s="4">
        <f t="shared" si="61"/>
        <v>-147.55907372884195</v>
      </c>
      <c r="I335" s="25">
        <f t="shared" si="62"/>
        <v>-13.754512649029493</v>
      </c>
      <c r="J335">
        <f t="shared" si="63"/>
        <v>-0.65493561688343505</v>
      </c>
      <c r="K335" s="4">
        <f t="shared" si="64"/>
        <v>-145.16273478960093</v>
      </c>
      <c r="M335" s="3">
        <f t="shared" si="69"/>
        <v>65.550000000000693</v>
      </c>
      <c r="N335">
        <f t="shared" si="70"/>
        <v>72.449999999999562</v>
      </c>
      <c r="O335">
        <f t="shared" si="71"/>
        <v>-13.099421550004209</v>
      </c>
      <c r="P335">
        <f t="shared" si="65"/>
        <v>-147.57240218455374</v>
      </c>
      <c r="Q335">
        <f t="shared" si="72"/>
        <v>0.15548214184946119</v>
      </c>
      <c r="R335">
        <f t="shared" si="73"/>
        <v>-13.328455711786091</v>
      </c>
      <c r="S335" s="4">
        <f t="shared" si="74"/>
        <v>594.21850088878091</v>
      </c>
    </row>
    <row r="336" spans="1:19" x14ac:dyDescent="0.5">
      <c r="A336" s="3"/>
      <c r="C336">
        <f t="shared" si="66"/>
        <v>73.13999999999956</v>
      </c>
      <c r="D336" s="23">
        <f t="shared" si="60"/>
        <v>5.0053831124576043</v>
      </c>
      <c r="E336" s="92">
        <f t="shared" si="67"/>
        <v>0</v>
      </c>
      <c r="F336" s="3">
        <f t="shared" si="68"/>
        <v>-12.997761270534189</v>
      </c>
      <c r="G336" s="4">
        <f t="shared" si="61"/>
        <v>-148.72027780939254</v>
      </c>
      <c r="I336" s="25">
        <f t="shared" si="62"/>
        <v>-13.654350361321121</v>
      </c>
      <c r="J336">
        <f t="shared" si="63"/>
        <v>-0.65658909078693206</v>
      </c>
      <c r="K336" s="4">
        <f t="shared" si="64"/>
        <v>-146.53871324896733</v>
      </c>
      <c r="M336" s="3">
        <f t="shared" si="69"/>
        <v>64.860000000000696</v>
      </c>
      <c r="N336">
        <f t="shared" si="70"/>
        <v>73.13999999999956</v>
      </c>
      <c r="O336">
        <f t="shared" si="71"/>
        <v>-12.997596591757699</v>
      </c>
      <c r="P336">
        <f t="shared" si="65"/>
        <v>-148.73359120671975</v>
      </c>
      <c r="Q336">
        <f t="shared" si="72"/>
        <v>0.16467877649084528</v>
      </c>
      <c r="R336">
        <f t="shared" si="73"/>
        <v>-13.313397327209486</v>
      </c>
      <c r="S336" s="4">
        <f t="shared" si="74"/>
        <v>595.07393956843384</v>
      </c>
    </row>
    <row r="337" spans="1:19" x14ac:dyDescent="0.5">
      <c r="A337" s="3"/>
      <c r="C337">
        <f t="shared" si="66"/>
        <v>73.829999999999558</v>
      </c>
      <c r="D337" s="23">
        <f t="shared" si="60"/>
        <v>5.0977671795630934</v>
      </c>
      <c r="E337" s="92">
        <f t="shared" si="67"/>
        <v>0</v>
      </c>
      <c r="F337" s="3">
        <f t="shared" si="68"/>
        <v>-12.895144278089157</v>
      </c>
      <c r="G337" s="4">
        <f t="shared" si="61"/>
        <v>-149.87982023289919</v>
      </c>
      <c r="I337" s="25">
        <f t="shared" si="62"/>
        <v>-13.55323864845559</v>
      </c>
      <c r="J337">
        <f t="shared" si="63"/>
        <v>-0.65809437036643281</v>
      </c>
      <c r="K337" s="4">
        <f t="shared" si="64"/>
        <v>-147.91460734885186</v>
      </c>
      <c r="M337" s="3">
        <f t="shared" si="69"/>
        <v>64.170000000000698</v>
      </c>
      <c r="N337">
        <f t="shared" si="70"/>
        <v>73.829999999999558</v>
      </c>
      <c r="O337">
        <f t="shared" si="71"/>
        <v>-12.894970413068307</v>
      </c>
      <c r="P337">
        <f t="shared" si="65"/>
        <v>-149.89311098085136</v>
      </c>
      <c r="Q337">
        <f t="shared" si="72"/>
        <v>0.17386502084981714</v>
      </c>
      <c r="R337">
        <f t="shared" si="73"/>
        <v>-13.290747952169113</v>
      </c>
      <c r="S337" s="4">
        <f t="shared" si="74"/>
        <v>595.92985459756517</v>
      </c>
    </row>
    <row r="338" spans="1:19" x14ac:dyDescent="0.5">
      <c r="A338" s="3"/>
      <c r="C338">
        <f t="shared" si="66"/>
        <v>74.519999999999555</v>
      </c>
      <c r="D338" s="23">
        <f t="shared" si="60"/>
        <v>5.190951330958633</v>
      </c>
      <c r="E338" s="92">
        <f t="shared" si="67"/>
        <v>0</v>
      </c>
      <c r="F338" s="3">
        <f t="shared" si="68"/>
        <v>-12.791727201354071</v>
      </c>
      <c r="G338" s="4">
        <f t="shared" si="61"/>
        <v>-151.03770500029526</v>
      </c>
      <c r="I338" s="25">
        <f t="shared" si="62"/>
        <v>-13.45117756864056</v>
      </c>
      <c r="J338">
        <f t="shared" si="63"/>
        <v>-0.65945036728648887</v>
      </c>
      <c r="K338" s="4">
        <f t="shared" si="64"/>
        <v>-149.29058580710335</v>
      </c>
      <c r="M338" s="3">
        <f t="shared" si="69"/>
        <v>63.4800000000007</v>
      </c>
      <c r="N338">
        <f t="shared" si="70"/>
        <v>74.519999999999555</v>
      </c>
      <c r="O338">
        <f t="shared" si="71"/>
        <v>-12.791544165716928</v>
      </c>
      <c r="P338">
        <f t="shared" si="65"/>
        <v>-151.05096537374121</v>
      </c>
      <c r="Q338">
        <f t="shared" si="72"/>
        <v>0.18303563714283655</v>
      </c>
      <c r="R338">
        <f t="shared" si="73"/>
        <v>-13.260373445945106</v>
      </c>
      <c r="S338" s="4">
        <f t="shared" si="74"/>
        <v>596.78623546041501</v>
      </c>
    </row>
    <row r="339" spans="1:19" x14ac:dyDescent="0.5">
      <c r="A339" s="3"/>
      <c r="C339">
        <f t="shared" si="66"/>
        <v>75.209999999999553</v>
      </c>
      <c r="D339" s="23">
        <f t="shared" si="60"/>
        <v>5.284934422861765</v>
      </c>
      <c r="E339" s="92">
        <f t="shared" si="67"/>
        <v>0</v>
      </c>
      <c r="F339" s="3">
        <f t="shared" si="68"/>
        <v>-12.687511184111395</v>
      </c>
      <c r="G339" s="4">
        <f t="shared" si="61"/>
        <v>-152.19393609906015</v>
      </c>
      <c r="I339" s="25">
        <f t="shared" si="62"/>
        <v>-13.34816706366837</v>
      </c>
      <c r="J339">
        <f t="shared" si="63"/>
        <v>-0.66065587955697502</v>
      </c>
      <c r="K339" s="4">
        <f t="shared" si="64"/>
        <v>-150.66647990586256</v>
      </c>
      <c r="M339" s="3">
        <f t="shared" si="69"/>
        <v>62.790000000000703</v>
      </c>
      <c r="N339">
        <f t="shared" si="70"/>
        <v>75.209999999999553</v>
      </c>
      <c r="O339">
        <f t="shared" si="71"/>
        <v>-12.687318998816366</v>
      </c>
      <c r="P339">
        <f t="shared" si="65"/>
        <v>-152.20715825990533</v>
      </c>
      <c r="Q339">
        <f t="shared" si="72"/>
        <v>0.19218529502929016</v>
      </c>
      <c r="R339">
        <f t="shared" si="73"/>
        <v>-13.222160845174358</v>
      </c>
      <c r="S339" s="4">
        <f t="shared" si="74"/>
        <v>597.64308087693394</v>
      </c>
    </row>
    <row r="340" spans="1:19" x14ac:dyDescent="0.5">
      <c r="A340" s="3"/>
      <c r="C340">
        <f t="shared" si="66"/>
        <v>75.899999999999551</v>
      </c>
      <c r="D340" s="23">
        <f t="shared" si="60"/>
        <v>5.379715314241384</v>
      </c>
      <c r="E340" s="92">
        <f t="shared" si="67"/>
        <v>0</v>
      </c>
      <c r="F340" s="3">
        <f t="shared" si="68"/>
        <v>-12.582497367392232</v>
      </c>
      <c r="G340" s="4">
        <f t="shared" si="61"/>
        <v>-153.34851750322707</v>
      </c>
      <c r="I340" s="25">
        <f t="shared" si="62"/>
        <v>-13.244207191746682</v>
      </c>
      <c r="J340">
        <f t="shared" si="63"/>
        <v>-0.66170982435444969</v>
      </c>
      <c r="K340" s="4">
        <f t="shared" si="64"/>
        <v>-152.04254272190514</v>
      </c>
      <c r="M340" s="3">
        <f t="shared" si="69"/>
        <v>62.100000000000705</v>
      </c>
      <c r="N340">
        <f t="shared" si="70"/>
        <v>75.899999999999551</v>
      </c>
      <c r="O340">
        <f t="shared" si="71"/>
        <v>-12.582296058806008</v>
      </c>
      <c r="P340">
        <f t="shared" si="65"/>
        <v>-153.36169350356204</v>
      </c>
      <c r="Q340">
        <f t="shared" si="72"/>
        <v>0.20130858622380288</v>
      </c>
      <c r="R340">
        <f t="shared" si="73"/>
        <v>-13.176000334965465</v>
      </c>
      <c r="S340" s="4">
        <f t="shared" si="74"/>
        <v>598.50039626337707</v>
      </c>
    </row>
    <row r="341" spans="1:19" x14ac:dyDescent="0.5">
      <c r="A341" s="3"/>
      <c r="C341">
        <f t="shared" si="66"/>
        <v>76.589999999999549</v>
      </c>
      <c r="D341" s="23">
        <f t="shared" si="60"/>
        <v>5.4752928668084699</v>
      </c>
      <c r="E341" s="92">
        <f t="shared" si="67"/>
        <v>0</v>
      </c>
      <c r="F341" s="3">
        <f t="shared" si="68"/>
        <v>-12.476686889485601</v>
      </c>
      <c r="G341" s="4">
        <f t="shared" si="61"/>
        <v>-154.50145317346019</v>
      </c>
      <c r="I341" s="25">
        <f t="shared" si="62"/>
        <v>-13.139297836460173</v>
      </c>
      <c r="J341">
        <f t="shared" si="63"/>
        <v>-0.66261094697457246</v>
      </c>
      <c r="K341" s="4">
        <f t="shared" si="64"/>
        <v>-153.41835246059131</v>
      </c>
      <c r="M341" s="3">
        <f t="shared" si="69"/>
        <v>61.410000000000707</v>
      </c>
      <c r="N341">
        <f t="shared" si="70"/>
        <v>76.589999999999549</v>
      </c>
      <c r="O341">
        <f t="shared" si="71"/>
        <v>-12.476476489458932</v>
      </c>
      <c r="P341">
        <f t="shared" si="65"/>
        <v>-154.5145749457597</v>
      </c>
      <c r="Q341">
        <f t="shared" si="72"/>
        <v>0.21040002666872226</v>
      </c>
      <c r="R341">
        <f t="shared" si="73"/>
        <v>-13.121772299513168</v>
      </c>
      <c r="S341" s="4">
        <f t="shared" si="74"/>
        <v>599.35818578633325</v>
      </c>
    </row>
    <row r="342" spans="1:19" x14ac:dyDescent="0.5">
      <c r="A342" s="3"/>
      <c r="C342">
        <f t="shared" si="66"/>
        <v>77.279999999999546</v>
      </c>
      <c r="D342" s="23">
        <f t="shared" si="60"/>
        <v>5.5716659450068668</v>
      </c>
      <c r="E342" s="92">
        <f t="shared" si="67"/>
        <v>0</v>
      </c>
      <c r="F342" s="3">
        <f t="shared" si="68"/>
        <v>-12.37008088594766</v>
      </c>
      <c r="G342" s="4">
        <f t="shared" si="61"/>
        <v>-155.65274705711903</v>
      </c>
      <c r="I342" s="25">
        <f t="shared" si="62"/>
        <v>-13.033439172431827</v>
      </c>
      <c r="J342">
        <f t="shared" si="63"/>
        <v>-0.66335828648416673</v>
      </c>
      <c r="K342" s="4">
        <f t="shared" si="64"/>
        <v>-154.79441527547721</v>
      </c>
      <c r="M342" s="3">
        <f t="shared" si="69"/>
        <v>60.720000000000709</v>
      </c>
      <c r="N342">
        <f t="shared" si="70"/>
        <v>77.279999999999546</v>
      </c>
      <c r="O342">
        <f t="shared" si="71"/>
        <v>-12.369861431897888</v>
      </c>
      <c r="P342">
        <f t="shared" si="65"/>
        <v>-155.66580640695139</v>
      </c>
      <c r="Q342">
        <f t="shared" si="72"/>
        <v>0.21945404977152805</v>
      </c>
      <c r="R342">
        <f t="shared" si="73"/>
        <v>-13.059349832360567</v>
      </c>
      <c r="S342" s="4">
        <f t="shared" si="74"/>
        <v>600.216436214434</v>
      </c>
    </row>
    <row r="343" spans="1:19" x14ac:dyDescent="0.5">
      <c r="A343" s="3"/>
      <c r="C343">
        <f t="shared" si="66"/>
        <v>77.969999999999544</v>
      </c>
      <c r="D343" s="23">
        <f t="shared" si="60"/>
        <v>5.6688334160040919</v>
      </c>
      <c r="E343" s="92">
        <f t="shared" si="67"/>
        <v>0</v>
      </c>
      <c r="F343" s="3">
        <f t="shared" si="68"/>
        <v>-12.26268048961089</v>
      </c>
      <c r="G343" s="4">
        <f t="shared" si="61"/>
        <v>-156.80240308832293</v>
      </c>
      <c r="I343" s="25">
        <f t="shared" si="62"/>
        <v>-12.92663102503866</v>
      </c>
      <c r="J343">
        <f t="shared" si="63"/>
        <v>-0.66395053542776949</v>
      </c>
      <c r="K343" s="4">
        <f t="shared" si="64"/>
        <v>-156.17030937192328</v>
      </c>
      <c r="M343" s="3">
        <f t="shared" si="69"/>
        <v>60.030000000000712</v>
      </c>
      <c r="N343">
        <f t="shared" si="70"/>
        <v>77.969999999999544</v>
      </c>
      <c r="O343">
        <f t="shared" si="71"/>
        <v>-12.262452024609516</v>
      </c>
      <c r="P343">
        <f t="shared" si="65"/>
        <v>-156.81539172046234</v>
      </c>
      <c r="Q343">
        <f t="shared" si="72"/>
        <v>0.22846500137418957</v>
      </c>
      <c r="R343">
        <f t="shared" si="73"/>
        <v>-12.988632139411038</v>
      </c>
      <c r="S343" s="4">
        <f t="shared" si="74"/>
        <v>601.07516384866722</v>
      </c>
    </row>
    <row r="344" spans="1:19" x14ac:dyDescent="0.5">
      <c r="A344" s="3"/>
      <c r="C344">
        <f t="shared" si="66"/>
        <v>78.659999999999542</v>
      </c>
      <c r="D344" s="23">
        <f t="shared" si="60"/>
        <v>5.7667941496822097</v>
      </c>
      <c r="E344" s="92">
        <f t="shared" si="67"/>
        <v>0</v>
      </c>
      <c r="F344" s="3">
        <f t="shared" si="68"/>
        <v>-12.154486830593228</v>
      </c>
      <c r="G344" s="4">
        <f t="shared" si="61"/>
        <v>-157.9504251879714</v>
      </c>
      <c r="I344" s="25">
        <f t="shared" si="62"/>
        <v>-12.818873510695994</v>
      </c>
      <c r="J344">
        <f t="shared" si="63"/>
        <v>-0.66438668010276558</v>
      </c>
      <c r="K344" s="4">
        <f t="shared" si="64"/>
        <v>-157.5462878267048</v>
      </c>
      <c r="M344" s="3">
        <f t="shared" si="69"/>
        <v>59.340000000000714</v>
      </c>
      <c r="N344">
        <f t="shared" si="70"/>
        <v>78.659999999999542</v>
      </c>
      <c r="O344">
        <f t="shared" si="71"/>
        <v>-12.154249403435458</v>
      </c>
      <c r="P344">
        <f t="shared" si="65"/>
        <v>-157.96333467585239</v>
      </c>
      <c r="Q344">
        <f t="shared" si="72"/>
        <v>0.23742715777075318</v>
      </c>
      <c r="R344">
        <f t="shared" si="73"/>
        <v>-12.909487880989445</v>
      </c>
      <c r="S344" s="4">
        <f t="shared" si="74"/>
        <v>601.93435276053765</v>
      </c>
    </row>
    <row r="345" spans="1:19" x14ac:dyDescent="0.5">
      <c r="A345" s="3"/>
      <c r="C345">
        <f t="shared" si="66"/>
        <v>79.34999999999954</v>
      </c>
      <c r="D345" s="23">
        <f t="shared" si="60"/>
        <v>5.8655470186287024</v>
      </c>
      <c r="E345" s="92">
        <f t="shared" si="67"/>
        <v>0</v>
      </c>
      <c r="F345" s="3">
        <f t="shared" si="68"/>
        <v>-12.04550103630719</v>
      </c>
      <c r="G345" s="4">
        <f t="shared" si="61"/>
        <v>-159.0968172638371</v>
      </c>
      <c r="I345" s="25">
        <f t="shared" si="62"/>
        <v>-12.710166571196169</v>
      </c>
      <c r="J345">
        <f t="shared" si="63"/>
        <v>-0.66466553488897873</v>
      </c>
      <c r="K345" s="4">
        <f t="shared" si="64"/>
        <v>-158.92226628088977</v>
      </c>
      <c r="M345" s="3">
        <f t="shared" si="69"/>
        <v>58.650000000000716</v>
      </c>
      <c r="N345">
        <f t="shared" si="70"/>
        <v>79.34999999999954</v>
      </c>
      <c r="O345">
        <f t="shared" si="71"/>
        <v>-12.045254701602559</v>
      </c>
      <c r="P345">
        <f t="shared" si="65"/>
        <v>-159.10963908070249</v>
      </c>
      <c r="Q345">
        <f t="shared" si="72"/>
        <v>0.24633470463086837</v>
      </c>
      <c r="R345">
        <f t="shared" si="73"/>
        <v>-12.821816865397295</v>
      </c>
      <c r="S345" s="4">
        <f t="shared" si="74"/>
        <v>602.79402347142923</v>
      </c>
    </row>
    <row r="346" spans="1:19" x14ac:dyDescent="0.5">
      <c r="A346" s="3"/>
      <c r="C346">
        <f t="shared" si="66"/>
        <v>80.039999999999537</v>
      </c>
      <c r="D346" s="23">
        <f t="shared" si="60"/>
        <v>5.9650908981274204</v>
      </c>
      <c r="E346" s="92">
        <f t="shared" si="67"/>
        <v>0</v>
      </c>
      <c r="F346" s="3">
        <f t="shared" si="68"/>
        <v>-11.935724231468926</v>
      </c>
      <c r="G346" s="4">
        <f t="shared" si="61"/>
        <v>-160.24158321062481</v>
      </c>
      <c r="I346" s="25">
        <f t="shared" si="62"/>
        <v>-12.600510206539184</v>
      </c>
      <c r="J346">
        <f t="shared" si="63"/>
        <v>-0.66478597507025761</v>
      </c>
      <c r="K346" s="4">
        <f t="shared" si="64"/>
        <v>-160.29816037554627</v>
      </c>
      <c r="M346" s="3">
        <f t="shared" si="69"/>
        <v>57.960000000000719</v>
      </c>
      <c r="N346">
        <f t="shared" si="70"/>
        <v>80.039999999999537</v>
      </c>
      <c r="O346">
        <f t="shared" si="71"/>
        <v>-11.935469049710434</v>
      </c>
      <c r="P346">
        <f t="shared" si="65"/>
        <v>-160.254308691105</v>
      </c>
      <c r="Q346">
        <f t="shared" si="72"/>
        <v>0.25518175849192914</v>
      </c>
      <c r="R346">
        <f t="shared" si="73"/>
        <v>-12.72548048018507</v>
      </c>
      <c r="S346" s="4">
        <f t="shared" si="74"/>
        <v>603.65415461830958</v>
      </c>
    </row>
    <row r="347" spans="1:19" x14ac:dyDescent="0.5">
      <c r="A347" s="3"/>
      <c r="C347">
        <f t="shared" si="66"/>
        <v>80.729999999999535</v>
      </c>
      <c r="D347" s="23">
        <f t="shared" si="60"/>
        <v>6.0654246661495623</v>
      </c>
      <c r="E347" s="92">
        <f t="shared" si="67"/>
        <v>0</v>
      </c>
      <c r="F347" s="3">
        <f t="shared" si="68"/>
        <v>-11.825157538107241</v>
      </c>
      <c r="G347" s="4">
        <f t="shared" si="61"/>
        <v>-161.38472691001269</v>
      </c>
      <c r="I347" s="25">
        <f t="shared" si="62"/>
        <v>-12.4899044749327</v>
      </c>
      <c r="J347">
        <f t="shared" si="63"/>
        <v>-0.66474693682545904</v>
      </c>
      <c r="K347" s="4">
        <f t="shared" si="64"/>
        <v>-161.6741388285225</v>
      </c>
      <c r="M347" s="3">
        <f t="shared" si="69"/>
        <v>57.270000000000721</v>
      </c>
      <c r="N347">
        <f t="shared" si="70"/>
        <v>80.729999999999535</v>
      </c>
      <c r="O347">
        <f t="shared" si="71"/>
        <v>-11.824893575766993</v>
      </c>
      <c r="P347">
        <f t="shared" si="65"/>
        <v>-161.39734729147094</v>
      </c>
      <c r="Q347">
        <f t="shared" si="72"/>
        <v>0.26396234024872456</v>
      </c>
      <c r="R347">
        <f t="shared" si="73"/>
        <v>-12.620381458248175</v>
      </c>
      <c r="S347" s="4">
        <f t="shared" si="74"/>
        <v>604.51476143501986</v>
      </c>
    </row>
    <row r="348" spans="1:19" x14ac:dyDescent="0.5">
      <c r="A348" s="3"/>
      <c r="C348">
        <f t="shared" si="66"/>
        <v>81.419999999999533</v>
      </c>
      <c r="D348" s="23">
        <f t="shared" si="60"/>
        <v>6.1665472033446767</v>
      </c>
      <c r="E348" s="92">
        <f t="shared" si="67"/>
        <v>0</v>
      </c>
      <c r="F348" s="3">
        <f t="shared" si="68"/>
        <v>-11.71380207557258</v>
      </c>
      <c r="G348" s="4">
        <f t="shared" si="61"/>
        <v>-162.52625223068844</v>
      </c>
      <c r="I348" s="25">
        <f t="shared" si="62"/>
        <v>-12.378349318169057</v>
      </c>
      <c r="J348">
        <f t="shared" si="63"/>
        <v>-0.66454724259647691</v>
      </c>
      <c r="K348" s="4">
        <f t="shared" si="64"/>
        <v>-163.05003292195991</v>
      </c>
      <c r="M348" s="3">
        <f t="shared" si="69"/>
        <v>56.580000000000723</v>
      </c>
      <c r="N348">
        <f t="shared" si="70"/>
        <v>81.419999999999533</v>
      </c>
      <c r="O348">
        <f t="shared" si="71"/>
        <v>-11.713529405168899</v>
      </c>
      <c r="P348">
        <f t="shared" si="65"/>
        <v>-162.53875862502059</v>
      </c>
      <c r="Q348">
        <f t="shared" si="72"/>
        <v>0.27267040368172957</v>
      </c>
      <c r="R348">
        <f t="shared" si="73"/>
        <v>-12.506394332149284</v>
      </c>
      <c r="S348" s="4">
        <f t="shared" si="74"/>
        <v>605.37584705134293</v>
      </c>
    </row>
    <row r="349" spans="1:19" x14ac:dyDescent="0.5">
      <c r="A349" s="3"/>
      <c r="C349">
        <f t="shared" si="66"/>
        <v>82.10999999999953</v>
      </c>
      <c r="D349" s="23">
        <f t="shared" si="60"/>
        <v>6.2684573930317216</v>
      </c>
      <c r="E349" s="92">
        <f t="shared" si="67"/>
        <v>0</v>
      </c>
      <c r="F349" s="3">
        <f t="shared" si="68"/>
        <v>-11.601658960545993</v>
      </c>
      <c r="G349" s="4">
        <f t="shared" si="61"/>
        <v>-163.66616302847268</v>
      </c>
      <c r="I349" s="25">
        <f t="shared" si="62"/>
        <v>-12.265844794455916</v>
      </c>
      <c r="J349">
        <f t="shared" si="63"/>
        <v>-0.66418583390992225</v>
      </c>
      <c r="K349" s="4">
        <f t="shared" si="64"/>
        <v>-164.42601137370656</v>
      </c>
      <c r="M349" s="3">
        <f t="shared" si="69"/>
        <v>55.890000000000725</v>
      </c>
      <c r="N349">
        <f t="shared" si="70"/>
        <v>82.10999999999953</v>
      </c>
      <c r="O349">
        <f t="shared" si="71"/>
        <v>-11.601377660729995</v>
      </c>
      <c r="P349">
        <f t="shared" si="65"/>
        <v>-163.67854641695322</v>
      </c>
      <c r="Q349">
        <f t="shared" si="72"/>
        <v>0.2812998159988922</v>
      </c>
      <c r="R349">
        <f t="shared" si="73"/>
        <v>-12.383388480543545</v>
      </c>
      <c r="S349" s="4">
        <f t="shared" si="74"/>
        <v>606.23738997753651</v>
      </c>
    </row>
    <row r="350" spans="1:19" x14ac:dyDescent="0.5">
      <c r="A350" s="3"/>
      <c r="C350">
        <f t="shared" si="66"/>
        <v>82.799999999999528</v>
      </c>
      <c r="D350" s="23">
        <f t="shared" ref="D350:D413" si="75">+($B$35*C350^2+$B$36*C350^3+$B$37*C350^4+$B$38*C350^5+$B$39*C350^6+$B$40*C350^7+$B$41*C350^8+$B$42*C350^9+$B$43*C350^10)*1000</f>
        <v>6.3711541211901546</v>
      </c>
      <c r="E350" s="92">
        <f t="shared" si="67"/>
        <v>0</v>
      </c>
      <c r="F350" s="3">
        <f t="shared" si="68"/>
        <v>-11.488729307048013</v>
      </c>
      <c r="G350" s="4">
        <f t="shared" ref="G350:G413" si="76">+ATAN((F350-F351)/(1000*$F$19))*1000000</f>
        <v>-164.8044631462779</v>
      </c>
      <c r="I350" s="25">
        <f t="shared" ref="I350:I413" si="77">(+I$25-(I$25^2-C350^2)^0.5)*1000-(+I$25-(I$25^2-C$30^2)^0.5)*1000</f>
        <v>-12.152390845585614</v>
      </c>
      <c r="J350">
        <f t="shared" ref="J350:J413" si="78">+(I350-F350)</f>
        <v>-0.66366153853760146</v>
      </c>
      <c r="K350" s="4">
        <f t="shared" ref="K350:K413" si="79">+ATAN((I350-I351)/(1000*$F$19))*1000000</f>
        <v>-165.80198982483063</v>
      </c>
      <c r="M350" s="3">
        <f t="shared" si="69"/>
        <v>55.200000000000728</v>
      </c>
      <c r="N350">
        <f t="shared" si="70"/>
        <v>82.799999999999528</v>
      </c>
      <c r="O350">
        <f t="shared" si="71"/>
        <v>-11.488439462693734</v>
      </c>
      <c r="P350">
        <f t="shared" ref="P350:P413" si="80">+ATAN((O350-O351)/(1000*$F$19))*1000000</f>
        <v>-164.81671442078678</v>
      </c>
      <c r="Q350">
        <f t="shared" si="72"/>
        <v>0.28984435427936717</v>
      </c>
      <c r="R350">
        <f t="shared" si="73"/>
        <v>-12.25127450888408</v>
      </c>
      <c r="S350" s="4">
        <f t="shared" si="74"/>
        <v>607.09941801184436</v>
      </c>
    </row>
    <row r="351" spans="1:19" x14ac:dyDescent="0.5">
      <c r="A351" s="3"/>
      <c r="C351">
        <f t="shared" ref="C351:C414" si="81">+C350+$F$19</f>
        <v>83.489999999999526</v>
      </c>
      <c r="D351" s="23">
        <f t="shared" si="75"/>
        <v>6.4746362764510614</v>
      </c>
      <c r="E351" s="92">
        <f t="shared" ref="E351:E414" si="82">IF($B$20="YES",($E$25*$F$18^2/16/$O$3/$O$24*C351^2-$E$25/24/$O$3/$O$24*C351^4)*1000,0)</f>
        <v>0</v>
      </c>
      <c r="F351" s="3">
        <f t="shared" ref="F351:F414" si="83">+D351-$D$30+($F$18/2+C351)/$F$18*($D$30-D$430)+E351-MAX($E$30,$E$430)</f>
        <v>-11.375014226447561</v>
      </c>
      <c r="G351" s="4">
        <f t="shared" si="76"/>
        <v>-165.94115641427061</v>
      </c>
      <c r="I351" s="25">
        <f t="shared" si="77"/>
        <v>-12.037987471558154</v>
      </c>
      <c r="J351">
        <f t="shared" si="78"/>
        <v>-0.6629732451105923</v>
      </c>
      <c r="K351" s="4">
        <f t="shared" si="79"/>
        <v>-167.17796827532683</v>
      </c>
      <c r="M351" s="3">
        <f t="shared" ref="M351:M414" si="84">+M350-$F$19</f>
        <v>54.51000000000073</v>
      </c>
      <c r="N351">
        <f t="shared" ref="N351:N414" si="85">+N350+$F$19</f>
        <v>83.489999999999526</v>
      </c>
      <c r="O351">
        <f t="shared" ref="O351:O414" si="86">IF($O$9=0,(-$O$13*N351^3/6/$O$14+$O$12*N351^2/2/$O$14+$O$16*N351+$O$17)*1000,($O$18*(($O$14+$O$15*N351)/$O$15*LN($O$14+$O$15*N351)-N351)-$O$13*N351^2/(2*$O$15)+$O$16*N351+$O$17)*1000)</f>
        <v>-11.374715928713641</v>
      </c>
      <c r="P351">
        <f t="shared" si="80"/>
        <v>-165.95326632567847</v>
      </c>
      <c r="Q351">
        <f t="shared" ref="Q351:Q414" si="87">+(O351-F351)*1000</f>
        <v>0.29829773392009429</v>
      </c>
      <c r="R351">
        <f t="shared" ref="R351:R414" si="88">+(P351-(G351))*1000</f>
        <v>-12.109911407861773</v>
      </c>
      <c r="S351" s="4">
        <f t="shared" ref="S351:S414" si="89">ABS(1000/((P352-P351)/(N352-N351)))</f>
        <v>607.96190827159398</v>
      </c>
    </row>
    <row r="352" spans="1:19" x14ac:dyDescent="0.5">
      <c r="A352" s="3"/>
      <c r="C352">
        <f t="shared" si="81"/>
        <v>84.179999999999524</v>
      </c>
      <c r="D352" s="23">
        <f t="shared" si="75"/>
        <v>6.5789027500883339</v>
      </c>
      <c r="E352" s="92">
        <f t="shared" si="82"/>
        <v>0</v>
      </c>
      <c r="F352" s="3">
        <f t="shared" si="83"/>
        <v>-11.260514827470745</v>
      </c>
      <c r="G352" s="4">
        <f t="shared" si="76"/>
        <v>-167.07624664983527</v>
      </c>
      <c r="I352" s="25">
        <f t="shared" si="77"/>
        <v>-11.922634672373533</v>
      </c>
      <c r="J352">
        <f t="shared" si="78"/>
        <v>-0.6621198449027883</v>
      </c>
      <c r="K352" s="4">
        <f t="shared" si="79"/>
        <v>-168.55386236626356</v>
      </c>
      <c r="M352" s="3">
        <f t="shared" si="84"/>
        <v>53.820000000000732</v>
      </c>
      <c r="N352">
        <f t="shared" si="85"/>
        <v>84.179999999999524</v>
      </c>
      <c r="O352">
        <f t="shared" si="86"/>
        <v>-11.260208173897723</v>
      </c>
      <c r="P352">
        <f t="shared" si="80"/>
        <v>-167.08820585167877</v>
      </c>
      <c r="Q352">
        <f t="shared" si="87"/>
        <v>0.30665357302162022</v>
      </c>
      <c r="R352">
        <f t="shared" si="88"/>
        <v>-11.959201843495748</v>
      </c>
      <c r="S352" s="4">
        <f t="shared" si="89"/>
        <v>608.82488051315238</v>
      </c>
    </row>
    <row r="353" spans="1:19" x14ac:dyDescent="0.5">
      <c r="A353" s="3"/>
      <c r="C353">
        <f t="shared" si="81"/>
        <v>84.869999999999521</v>
      </c>
      <c r="D353" s="23">
        <f t="shared" si="75"/>
        <v>6.6839524360098617</v>
      </c>
      <c r="E353" s="92">
        <f t="shared" si="82"/>
        <v>0</v>
      </c>
      <c r="F353" s="3">
        <f t="shared" si="83"/>
        <v>-11.145232216209674</v>
      </c>
      <c r="G353" s="4">
        <f t="shared" si="76"/>
        <v>-168.20973765770563</v>
      </c>
      <c r="I353" s="25">
        <f t="shared" si="77"/>
        <v>-11.806332506239414</v>
      </c>
      <c r="J353">
        <f t="shared" si="78"/>
        <v>-0.66110029002974002</v>
      </c>
      <c r="K353" s="4">
        <f t="shared" si="79"/>
        <v>-169.92984081548846</v>
      </c>
      <c r="M353" s="3">
        <f t="shared" si="84"/>
        <v>53.130000000000734</v>
      </c>
      <c r="N353">
        <f t="shared" si="85"/>
        <v>84.869999999999521</v>
      </c>
      <c r="O353">
        <f t="shared" si="86"/>
        <v>-11.14491731078715</v>
      </c>
      <c r="P353">
        <f t="shared" si="80"/>
        <v>-168.22153666992395</v>
      </c>
      <c r="Q353">
        <f t="shared" si="87"/>
        <v>0.31490542252399223</v>
      </c>
      <c r="R353">
        <f t="shared" si="88"/>
        <v>-11.799012218318694</v>
      </c>
      <c r="S353" s="4">
        <f t="shared" si="89"/>
        <v>609.6883270069834</v>
      </c>
    </row>
    <row r="354" spans="1:19" x14ac:dyDescent="0.5">
      <c r="A354" s="3"/>
      <c r="C354">
        <f t="shared" si="81"/>
        <v>85.559999999999519</v>
      </c>
      <c r="D354" s="23">
        <f t="shared" si="75"/>
        <v>6.789784230748797</v>
      </c>
      <c r="E354" s="92">
        <f t="shared" si="82"/>
        <v>0</v>
      </c>
      <c r="F354" s="3">
        <f t="shared" si="83"/>
        <v>-11.029167496131192</v>
      </c>
      <c r="G354" s="4">
        <f t="shared" si="76"/>
        <v>-169.34163322992862</v>
      </c>
      <c r="I354" s="25">
        <f t="shared" si="77"/>
        <v>-11.689080914948136</v>
      </c>
      <c r="J354">
        <f t="shared" si="78"/>
        <v>-0.65991341881694332</v>
      </c>
      <c r="K354" s="4">
        <f t="shared" si="79"/>
        <v>-171.30573490514359</v>
      </c>
      <c r="M354" s="3">
        <f t="shared" si="84"/>
        <v>52.440000000000737</v>
      </c>
      <c r="N354">
        <f t="shared" si="85"/>
        <v>85.559999999999519</v>
      </c>
      <c r="O354">
        <f t="shared" si="86"/>
        <v>-11.028844449390007</v>
      </c>
      <c r="P354">
        <f t="shared" si="80"/>
        <v>-169.35326245412466</v>
      </c>
      <c r="Q354">
        <f t="shared" si="87"/>
        <v>0.32304674118499577</v>
      </c>
      <c r="R354">
        <f t="shared" si="88"/>
        <v>-11.629224196042287</v>
      </c>
      <c r="S354" s="4">
        <f t="shared" si="89"/>
        <v>610.55223439896679</v>
      </c>
    </row>
    <row r="355" spans="1:19" x14ac:dyDescent="0.5">
      <c r="A355" s="3"/>
      <c r="C355">
        <f t="shared" si="81"/>
        <v>86.249999999999517</v>
      </c>
      <c r="D355" s="23">
        <f t="shared" si="75"/>
        <v>6.8963970334548161</v>
      </c>
      <c r="E355" s="92">
        <f t="shared" si="82"/>
        <v>0</v>
      </c>
      <c r="F355" s="3">
        <f t="shared" si="83"/>
        <v>-10.912321768085629</v>
      </c>
      <c r="G355" s="4">
        <f t="shared" si="76"/>
        <v>-170.47193714603176</v>
      </c>
      <c r="I355" s="25">
        <f t="shared" si="77"/>
        <v>-11.570879956707358</v>
      </c>
      <c r="J355">
        <f t="shared" si="78"/>
        <v>-0.6585581886217291</v>
      </c>
      <c r="K355" s="4">
        <f t="shared" si="79"/>
        <v>-172.68179771200278</v>
      </c>
      <c r="M355" s="3">
        <f t="shared" si="84"/>
        <v>51.750000000000739</v>
      </c>
      <c r="N355">
        <f t="shared" si="85"/>
        <v>86.249999999999517</v>
      </c>
      <c r="O355">
        <f t="shared" si="86"/>
        <v>-10.911990697179519</v>
      </c>
      <c r="P355">
        <f t="shared" si="80"/>
        <v>-170.48338689086387</v>
      </c>
      <c r="Q355">
        <f t="shared" si="87"/>
        <v>0.3310709061103978</v>
      </c>
      <c r="R355">
        <f t="shared" si="88"/>
        <v>-11.449744832106035</v>
      </c>
      <c r="S355" s="4">
        <f t="shared" si="89"/>
        <v>611.41663523864656</v>
      </c>
    </row>
    <row r="356" spans="1:19" x14ac:dyDescent="0.5">
      <c r="A356" s="3"/>
      <c r="C356">
        <f t="shared" si="81"/>
        <v>86.939999999999515</v>
      </c>
      <c r="D356" s="23">
        <f t="shared" si="75"/>
        <v>7.0037897458854594</v>
      </c>
      <c r="E356" s="92">
        <f t="shared" si="82"/>
        <v>0</v>
      </c>
      <c r="F356" s="3">
        <f t="shared" si="83"/>
        <v>-10.79469613031544</v>
      </c>
      <c r="G356" s="4">
        <f t="shared" si="76"/>
        <v>-171.60065317296653</v>
      </c>
      <c r="I356" s="25">
        <f t="shared" si="77"/>
        <v>-11.451729515101761</v>
      </c>
      <c r="J356">
        <f t="shared" si="78"/>
        <v>-0.65703338478632034</v>
      </c>
      <c r="K356" s="4">
        <f t="shared" si="79"/>
        <v>-174.05760744142913</v>
      </c>
      <c r="M356" s="3">
        <f t="shared" si="84"/>
        <v>51.060000000000741</v>
      </c>
      <c r="N356">
        <f t="shared" si="85"/>
        <v>86.939999999999515</v>
      </c>
      <c r="O356">
        <f t="shared" si="86"/>
        <v>-10.794357159085166</v>
      </c>
      <c r="P356">
        <f t="shared" si="80"/>
        <v>-171.61191359464038</v>
      </c>
      <c r="Q356">
        <f t="shared" si="87"/>
        <v>0.33897123027415432</v>
      </c>
      <c r="R356">
        <f t="shared" si="88"/>
        <v>-11.260421673853216</v>
      </c>
      <c r="S356" s="4">
        <f t="shared" si="89"/>
        <v>612.28149393403885</v>
      </c>
    </row>
    <row r="357" spans="1:19" x14ac:dyDescent="0.5">
      <c r="A357" s="3"/>
      <c r="C357">
        <f t="shared" si="81"/>
        <v>87.629999999999512</v>
      </c>
      <c r="D357" s="23">
        <f t="shared" si="75"/>
        <v>7.1119612723974734</v>
      </c>
      <c r="E357" s="92">
        <f t="shared" si="82"/>
        <v>0</v>
      </c>
      <c r="F357" s="3">
        <f t="shared" si="83"/>
        <v>-10.676291678463883</v>
      </c>
      <c r="G357" s="4">
        <f t="shared" si="76"/>
        <v>-172.72778506527047</v>
      </c>
      <c r="I357" s="25">
        <f t="shared" si="77"/>
        <v>-11.331629764754325</v>
      </c>
      <c r="J357">
        <f t="shared" si="78"/>
        <v>-0.65533808629044188</v>
      </c>
      <c r="K357" s="4">
        <f t="shared" si="79"/>
        <v>-175.43367024697534</v>
      </c>
      <c r="M357" s="3">
        <f t="shared" si="84"/>
        <v>50.370000000000744</v>
      </c>
      <c r="N357">
        <f t="shared" si="85"/>
        <v>87.629999999999512</v>
      </c>
      <c r="O357">
        <f t="shared" si="86"/>
        <v>-10.675944937542425</v>
      </c>
      <c r="P357">
        <f t="shared" si="80"/>
        <v>-172.73884623401611</v>
      </c>
      <c r="Q357">
        <f t="shared" si="87"/>
        <v>0.34674092145792201</v>
      </c>
      <c r="R357">
        <f t="shared" si="88"/>
        <v>-11.061168745641226</v>
      </c>
      <c r="S357" s="4">
        <f t="shared" si="89"/>
        <v>613.14684184517887</v>
      </c>
    </row>
    <row r="358" spans="1:19" x14ac:dyDescent="0.5">
      <c r="A358" s="3"/>
      <c r="C358">
        <f t="shared" si="81"/>
        <v>88.31999999999951</v>
      </c>
      <c r="D358" s="23">
        <f t="shared" si="75"/>
        <v>7.2209105199382275</v>
      </c>
      <c r="E358" s="92">
        <f t="shared" si="82"/>
        <v>0</v>
      </c>
      <c r="F358" s="3">
        <f t="shared" si="83"/>
        <v>-10.557109505583584</v>
      </c>
      <c r="G358" s="4">
        <f t="shared" si="76"/>
        <v>-173.85333656501061</v>
      </c>
      <c r="I358" s="25">
        <f t="shared" si="77"/>
        <v>-11.210580531042069</v>
      </c>
      <c r="J358">
        <f t="shared" si="78"/>
        <v>-0.65347102545848479</v>
      </c>
      <c r="K358" s="4">
        <f t="shared" si="79"/>
        <v>-176.80956433400468</v>
      </c>
      <c r="M358" s="3">
        <f t="shared" si="84"/>
        <v>49.680000000000746</v>
      </c>
      <c r="N358">
        <f t="shared" si="85"/>
        <v>88.31999999999951</v>
      </c>
      <c r="O358">
        <f t="shared" si="86"/>
        <v>-10.556755132455464</v>
      </c>
      <c r="P358">
        <f t="shared" si="80"/>
        <v>-173.86418840804336</v>
      </c>
      <c r="Q358">
        <f t="shared" si="87"/>
        <v>0.35437312812014454</v>
      </c>
      <c r="R358">
        <f t="shared" si="88"/>
        <v>-10.85184303275355</v>
      </c>
      <c r="S358" s="4">
        <f t="shared" si="89"/>
        <v>614.01264460184132</v>
      </c>
    </row>
    <row r="359" spans="1:19" x14ac:dyDescent="0.5">
      <c r="A359" s="3"/>
      <c r="C359">
        <f t="shared" si="81"/>
        <v>89.009999999999508</v>
      </c>
      <c r="D359" s="23">
        <f t="shared" si="75"/>
        <v>7.3306363980371234</v>
      </c>
      <c r="E359" s="92">
        <f t="shared" si="82"/>
        <v>0</v>
      </c>
      <c r="F359" s="3">
        <f t="shared" si="83"/>
        <v>-10.437150702145143</v>
      </c>
      <c r="G359" s="4">
        <f t="shared" si="76"/>
        <v>-174.97731140191476</v>
      </c>
      <c r="I359" s="25">
        <f t="shared" si="77"/>
        <v>-11.088581930380315</v>
      </c>
      <c r="J359">
        <f t="shared" si="78"/>
        <v>-0.65143122823517174</v>
      </c>
      <c r="K359" s="4">
        <f t="shared" si="79"/>
        <v>-178.18554277929078</v>
      </c>
      <c r="M359" s="3">
        <f t="shared" si="84"/>
        <v>48.990000000000748</v>
      </c>
      <c r="N359">
        <f t="shared" si="85"/>
        <v>89.009999999999508</v>
      </c>
      <c r="O359">
        <f t="shared" si="86"/>
        <v>-10.436788841245104</v>
      </c>
      <c r="P359">
        <f t="shared" si="80"/>
        <v>-174.98794376726309</v>
      </c>
      <c r="Q359">
        <f t="shared" si="87"/>
        <v>0.36186090003909044</v>
      </c>
      <c r="R359">
        <f t="shared" si="88"/>
        <v>-10.632365348328676</v>
      </c>
      <c r="S359" s="4">
        <f t="shared" si="89"/>
        <v>614.87895351953341</v>
      </c>
    </row>
    <row r="360" spans="1:19" x14ac:dyDescent="0.5">
      <c r="A360" s="3"/>
      <c r="C360">
        <f t="shared" si="81"/>
        <v>89.699999999999505</v>
      </c>
      <c r="D360" s="23">
        <f t="shared" si="75"/>
        <v>7.4411378187970776</v>
      </c>
      <c r="E360" s="92">
        <f t="shared" si="82"/>
        <v>0</v>
      </c>
      <c r="F360" s="3">
        <f t="shared" si="83"/>
        <v>-10.316416356045645</v>
      </c>
      <c r="G360" s="4">
        <f t="shared" si="76"/>
        <v>-176.09971329341528</v>
      </c>
      <c r="I360" s="25">
        <f t="shared" si="77"/>
        <v>-10.9656339045614</v>
      </c>
      <c r="J360">
        <f t="shared" si="78"/>
        <v>-0.64921754851575564</v>
      </c>
      <c r="K360" s="4">
        <f t="shared" si="79"/>
        <v>-179.56152122390219</v>
      </c>
      <c r="M360" s="3">
        <f t="shared" si="84"/>
        <v>48.30000000000075</v>
      </c>
      <c r="N360">
        <f t="shared" si="85"/>
        <v>89.699999999999505</v>
      </c>
      <c r="O360">
        <f t="shared" si="86"/>
        <v>-10.316047158813291</v>
      </c>
      <c r="P360">
        <f t="shared" si="80"/>
        <v>-176.11011585666455</v>
      </c>
      <c r="Q360">
        <f t="shared" si="87"/>
        <v>0.36919723235406821</v>
      </c>
      <c r="R360">
        <f t="shared" si="88"/>
        <v>-10.402563249272134</v>
      </c>
      <c r="S360" s="4">
        <f t="shared" si="89"/>
        <v>615.74571018160248</v>
      </c>
    </row>
    <row r="361" spans="1:19" x14ac:dyDescent="0.5">
      <c r="A361" s="3"/>
      <c r="C361">
        <f t="shared" si="81"/>
        <v>90.389999999999503</v>
      </c>
      <c r="D361" s="23">
        <f t="shared" si="75"/>
        <v>7.5524136968860294</v>
      </c>
      <c r="E361" s="92">
        <f t="shared" si="82"/>
        <v>0</v>
      </c>
      <c r="F361" s="3">
        <f t="shared" si="83"/>
        <v>-10.194907552617147</v>
      </c>
      <c r="G361" s="4">
        <f t="shared" si="76"/>
        <v>-177.22054594466965</v>
      </c>
      <c r="I361" s="25">
        <f t="shared" si="77"/>
        <v>-10.841736453585327</v>
      </c>
      <c r="J361">
        <f t="shared" si="78"/>
        <v>-0.64682890096817935</v>
      </c>
      <c r="K361" s="4">
        <f t="shared" si="79"/>
        <v>-180.93741530890753</v>
      </c>
      <c r="M361" s="3">
        <f t="shared" si="84"/>
        <v>47.610000000000753</v>
      </c>
      <c r="N361">
        <f t="shared" si="85"/>
        <v>90.389999999999503</v>
      </c>
      <c r="O361">
        <f t="shared" si="86"/>
        <v>-10.194531177615929</v>
      </c>
      <c r="P361">
        <f t="shared" si="80"/>
        <v>-177.23070831649102</v>
      </c>
      <c r="Q361">
        <f t="shared" si="87"/>
        <v>0.37637500121867618</v>
      </c>
      <c r="R361">
        <f t="shared" si="88"/>
        <v>-10.162371821365923</v>
      </c>
      <c r="S361" s="4">
        <f t="shared" si="89"/>
        <v>616.61296193180215</v>
      </c>
    </row>
    <row r="362" spans="1:19" x14ac:dyDescent="0.5">
      <c r="A362" s="3"/>
      <c r="C362">
        <f t="shared" si="81"/>
        <v>91.079999999999501</v>
      </c>
      <c r="D362" s="23">
        <f t="shared" si="75"/>
        <v>7.6644629495284846</v>
      </c>
      <c r="E362" s="92">
        <f t="shared" si="82"/>
        <v>0</v>
      </c>
      <c r="F362" s="3">
        <f t="shared" si="83"/>
        <v>-10.072625374635148</v>
      </c>
      <c r="G362" s="4">
        <f t="shared" si="76"/>
        <v>-178.33981304863511</v>
      </c>
      <c r="I362" s="25">
        <f t="shared" si="77"/>
        <v>-10.716889635659754</v>
      </c>
      <c r="J362">
        <f t="shared" si="78"/>
        <v>-0.6442642610246061</v>
      </c>
      <c r="K362" s="4">
        <f t="shared" si="79"/>
        <v>-182.3133093932278</v>
      </c>
      <c r="M362" s="3">
        <f t="shared" si="84"/>
        <v>46.920000000000755</v>
      </c>
      <c r="N362">
        <f t="shared" si="85"/>
        <v>91.079999999999501</v>
      </c>
      <c r="O362">
        <f t="shared" si="86"/>
        <v>-10.072241987597153</v>
      </c>
      <c r="P362">
        <f t="shared" si="80"/>
        <v>-178.3497246891574</v>
      </c>
      <c r="Q362">
        <f t="shared" si="87"/>
        <v>0.38338703799567497</v>
      </c>
      <c r="R362">
        <f t="shared" si="88"/>
        <v>-9.9116405222900994</v>
      </c>
      <c r="S362" s="4">
        <f t="shared" si="89"/>
        <v>617.48068412354394</v>
      </c>
    </row>
    <row r="363" spans="1:19" x14ac:dyDescent="0.5">
      <c r="A363" s="3"/>
      <c r="C363">
        <f t="shared" si="81"/>
        <v>91.769999999999499</v>
      </c>
      <c r="D363" s="23">
        <f t="shared" si="75"/>
        <v>7.777284496497086</v>
      </c>
      <c r="E363" s="92">
        <f t="shared" si="82"/>
        <v>0</v>
      </c>
      <c r="F363" s="3">
        <f t="shared" si="83"/>
        <v>-9.9495709023270038</v>
      </c>
      <c r="G363" s="4">
        <f t="shared" si="76"/>
        <v>-179.45751828612796</v>
      </c>
      <c r="I363" s="25">
        <f t="shared" si="77"/>
        <v>-10.591093450784683</v>
      </c>
      <c r="J363">
        <f t="shared" si="78"/>
        <v>-0.64152254845767942</v>
      </c>
      <c r="K363" s="4">
        <f t="shared" si="79"/>
        <v>-183.68937219470988</v>
      </c>
      <c r="M363" s="3">
        <f t="shared" si="84"/>
        <v>46.230000000000757</v>
      </c>
      <c r="N363">
        <f t="shared" si="85"/>
        <v>91.769999999999499</v>
      </c>
      <c r="O363">
        <f t="shared" si="86"/>
        <v>-9.9491806762568302</v>
      </c>
      <c r="P363">
        <f t="shared" si="80"/>
        <v>-179.46716855054618</v>
      </c>
      <c r="Q363">
        <f t="shared" si="87"/>
        <v>0.39022607017358268</v>
      </c>
      <c r="R363">
        <f t="shared" si="88"/>
        <v>-9.6502644182123731</v>
      </c>
      <c r="S363" s="4">
        <f t="shared" si="89"/>
        <v>618.34888181636427</v>
      </c>
    </row>
    <row r="364" spans="1:19" x14ac:dyDescent="0.5">
      <c r="A364" s="3"/>
      <c r="C364">
        <f t="shared" si="81"/>
        <v>92.459999999999496</v>
      </c>
      <c r="D364" s="23">
        <f t="shared" si="75"/>
        <v>7.8908772601042374</v>
      </c>
      <c r="E364" s="92">
        <f t="shared" si="82"/>
        <v>0</v>
      </c>
      <c r="F364" s="3">
        <f t="shared" si="83"/>
        <v>-9.8257452133803067</v>
      </c>
      <c r="G364" s="4">
        <f t="shared" si="76"/>
        <v>-180.57366532586207</v>
      </c>
      <c r="I364" s="25">
        <f t="shared" si="77"/>
        <v>-10.464347782544792</v>
      </c>
      <c r="J364">
        <f t="shared" si="78"/>
        <v>-0.63860256916448499</v>
      </c>
      <c r="K364" s="4">
        <f t="shared" si="79"/>
        <v>-185.06526627764433</v>
      </c>
      <c r="M364" s="3">
        <f t="shared" si="84"/>
        <v>45.540000000000759</v>
      </c>
      <c r="N364">
        <f t="shared" si="85"/>
        <v>92.459999999999496</v>
      </c>
      <c r="O364">
        <f t="shared" si="86"/>
        <v>-9.8253483286274701</v>
      </c>
      <c r="P364">
        <f t="shared" si="80"/>
        <v>-180.58304345594451</v>
      </c>
      <c r="Q364">
        <f t="shared" si="87"/>
        <v>0.39688475283661262</v>
      </c>
      <c r="R364">
        <f t="shared" si="88"/>
        <v>-9.3781300824389291</v>
      </c>
      <c r="S364" s="4">
        <f t="shared" si="89"/>
        <v>619.21756015355106</v>
      </c>
    </row>
    <row r="365" spans="1:19" x14ac:dyDescent="0.5">
      <c r="A365" s="3"/>
      <c r="C365">
        <f t="shared" si="81"/>
        <v>93.149999999999494</v>
      </c>
      <c r="D365" s="23">
        <f t="shared" si="75"/>
        <v>8.0052401651937615</v>
      </c>
      <c r="E365" s="92">
        <f t="shared" si="82"/>
        <v>0</v>
      </c>
      <c r="F365" s="3">
        <f t="shared" si="83"/>
        <v>-9.7011493829512361</v>
      </c>
      <c r="G365" s="4">
        <f t="shared" si="76"/>
        <v>-181.68825782448505</v>
      </c>
      <c r="I365" s="25">
        <f t="shared" si="77"/>
        <v>-10.336652747355402</v>
      </c>
      <c r="J365">
        <f t="shared" si="78"/>
        <v>-0.63550336440416544</v>
      </c>
      <c r="K365" s="4">
        <f t="shared" si="79"/>
        <v>-186.44116035987813</v>
      </c>
      <c r="M365" s="3">
        <f t="shared" si="84"/>
        <v>44.850000000000762</v>
      </c>
      <c r="N365">
        <f t="shared" si="85"/>
        <v>93.149999999999494</v>
      </c>
      <c r="O365">
        <f t="shared" si="86"/>
        <v>-9.7007460272884316</v>
      </c>
      <c r="P365">
        <f t="shared" si="80"/>
        <v>-181.69735294004391</v>
      </c>
      <c r="Q365">
        <f t="shared" si="87"/>
        <v>0.4033556628044721</v>
      </c>
      <c r="R365">
        <f t="shared" si="88"/>
        <v>-9.0951155588641086</v>
      </c>
      <c r="S365" s="4">
        <f t="shared" si="89"/>
        <v>620.08671431989217</v>
      </c>
    </row>
    <row r="366" spans="1:19" x14ac:dyDescent="0.5">
      <c r="A366" s="3"/>
      <c r="C366">
        <f t="shared" si="81"/>
        <v>93.839999999999492</v>
      </c>
      <c r="D366" s="23">
        <f t="shared" si="75"/>
        <v>8.1203721391325701</v>
      </c>
      <c r="E366" s="92">
        <f t="shared" si="82"/>
        <v>0</v>
      </c>
      <c r="F366" s="3">
        <f t="shared" si="83"/>
        <v>-9.5757844836728836</v>
      </c>
      <c r="G366" s="4">
        <f t="shared" si="76"/>
        <v>-182.80129942671448</v>
      </c>
      <c r="I366" s="25">
        <f t="shared" si="77"/>
        <v>-10.208008345216513</v>
      </c>
      <c r="J366">
        <f t="shared" si="78"/>
        <v>-0.63222386154362908</v>
      </c>
      <c r="K366" s="4">
        <f t="shared" si="79"/>
        <v>-187.81722315925776</v>
      </c>
      <c r="M366" s="3">
        <f t="shared" si="84"/>
        <v>44.160000000000764</v>
      </c>
      <c r="N366">
        <f t="shared" si="85"/>
        <v>93.839999999999492</v>
      </c>
      <c r="O366">
        <f t="shared" si="86"/>
        <v>-9.5753748523801363</v>
      </c>
      <c r="P366">
        <f t="shared" si="80"/>
        <v>-182.8101005349618</v>
      </c>
      <c r="Q366">
        <f t="shared" si="87"/>
        <v>0.40963129274729226</v>
      </c>
      <c r="R366">
        <f t="shared" si="88"/>
        <v>-8.8011082473258284</v>
      </c>
      <c r="S366" s="4">
        <f t="shared" si="89"/>
        <v>620.95635242016442</v>
      </c>
    </row>
    <row r="367" spans="1:19" x14ac:dyDescent="0.5">
      <c r="A367" s="3"/>
      <c r="C367">
        <f t="shared" si="81"/>
        <v>94.52999999999949</v>
      </c>
      <c r="D367" s="23">
        <f t="shared" si="75"/>
        <v>8.2362721118024229</v>
      </c>
      <c r="E367" s="92">
        <f t="shared" si="82"/>
        <v>0</v>
      </c>
      <c r="F367" s="3">
        <f t="shared" si="83"/>
        <v>-9.4496515856634851</v>
      </c>
      <c r="G367" s="4">
        <f t="shared" si="76"/>
        <v>-183.91279376524287</v>
      </c>
      <c r="I367" s="25">
        <f t="shared" si="77"/>
        <v>-10.078414459712803</v>
      </c>
      <c r="J367">
        <f t="shared" si="78"/>
        <v>-0.6287628740493183</v>
      </c>
      <c r="K367" s="4">
        <f t="shared" si="79"/>
        <v>-189.19311724007443</v>
      </c>
      <c r="M367" s="3">
        <f t="shared" si="84"/>
        <v>43.470000000000766</v>
      </c>
      <c r="N367">
        <f t="shared" si="85"/>
        <v>94.52999999999949</v>
      </c>
      <c r="O367">
        <f t="shared" si="86"/>
        <v>-9.4492358816058442</v>
      </c>
      <c r="P367">
        <f t="shared" si="80"/>
        <v>-183.92128974707106</v>
      </c>
      <c r="Q367">
        <f t="shared" si="87"/>
        <v>0.41570405764090879</v>
      </c>
      <c r="R367">
        <f t="shared" si="88"/>
        <v>-8.4959818281902244</v>
      </c>
      <c r="S367" s="4">
        <f t="shared" si="89"/>
        <v>621.82646824922983</v>
      </c>
    </row>
    <row r="368" spans="1:19" x14ac:dyDescent="0.5">
      <c r="A368" s="3"/>
      <c r="C368">
        <f t="shared" si="81"/>
        <v>95.219999999999487</v>
      </c>
      <c r="D368" s="23">
        <f t="shared" si="75"/>
        <v>8.3529390155916463</v>
      </c>
      <c r="E368" s="92">
        <f t="shared" si="82"/>
        <v>0</v>
      </c>
      <c r="F368" s="3">
        <f t="shared" si="83"/>
        <v>-9.3227517565347178</v>
      </c>
      <c r="G368" s="4">
        <f t="shared" si="76"/>
        <v>-185.02274446090755</v>
      </c>
      <c r="I368" s="25">
        <f t="shared" si="77"/>
        <v>-9.9478712072595954</v>
      </c>
      <c r="J368">
        <f t="shared" si="78"/>
        <v>-0.62511945072487762</v>
      </c>
      <c r="K368" s="4">
        <f t="shared" si="79"/>
        <v>-190.5690956791006</v>
      </c>
      <c r="M368" s="3">
        <f t="shared" si="84"/>
        <v>42.780000000000769</v>
      </c>
      <c r="N368">
        <f t="shared" si="85"/>
        <v>95.219999999999487</v>
      </c>
      <c r="O368">
        <f t="shared" si="86"/>
        <v>-9.3223301902494171</v>
      </c>
      <c r="P368">
        <f t="shared" si="80"/>
        <v>-185.03092408274466</v>
      </c>
      <c r="Q368">
        <f t="shared" si="87"/>
        <v>0.42156628530065632</v>
      </c>
      <c r="R368">
        <f t="shared" si="88"/>
        <v>-8.1796218371152918</v>
      </c>
      <c r="S368" s="4">
        <f t="shared" si="89"/>
        <v>622.69705989824581</v>
      </c>
    </row>
    <row r="369" spans="1:19" x14ac:dyDescent="0.5">
      <c r="A369" s="3"/>
      <c r="C369">
        <f t="shared" si="81"/>
        <v>95.909999999999485</v>
      </c>
      <c r="D369" s="23">
        <f t="shared" si="75"/>
        <v>8.4703717853869396</v>
      </c>
      <c r="E369" s="92">
        <f t="shared" si="82"/>
        <v>0</v>
      </c>
      <c r="F369" s="3">
        <f t="shared" si="83"/>
        <v>-9.1950860613998806</v>
      </c>
      <c r="G369" s="4">
        <f t="shared" si="76"/>
        <v>-186.1311551227549</v>
      </c>
      <c r="I369" s="25">
        <f t="shared" si="77"/>
        <v>-9.8163785296492279</v>
      </c>
      <c r="J369">
        <f t="shared" si="78"/>
        <v>-0.62129246824934725</v>
      </c>
      <c r="K369" s="4">
        <f t="shared" si="79"/>
        <v>-191.94498975847938</v>
      </c>
      <c r="M369" s="3">
        <f t="shared" si="84"/>
        <v>42.090000000000771</v>
      </c>
      <c r="N369">
        <f t="shared" si="85"/>
        <v>95.909999999999485</v>
      </c>
      <c r="O369">
        <f t="shared" si="86"/>
        <v>-9.1946588511753191</v>
      </c>
      <c r="P369">
        <f t="shared" si="80"/>
        <v>-186.13900704063232</v>
      </c>
      <c r="Q369">
        <f t="shared" si="87"/>
        <v>0.42721022456149171</v>
      </c>
      <c r="R369">
        <f t="shared" si="88"/>
        <v>-7.851917877417236</v>
      </c>
      <c r="S369" s="4">
        <f t="shared" si="89"/>
        <v>623.56812691368771</v>
      </c>
    </row>
    <row r="370" spans="1:19" x14ac:dyDescent="0.5">
      <c r="A370" s="3"/>
      <c r="C370">
        <f t="shared" si="81"/>
        <v>96.599999999999483</v>
      </c>
      <c r="D370" s="23">
        <f t="shared" si="75"/>
        <v>8.5885693585652447</v>
      </c>
      <c r="E370" s="92">
        <f t="shared" si="82"/>
        <v>0</v>
      </c>
      <c r="F370" s="3">
        <f t="shared" si="83"/>
        <v>-9.0666555628820298</v>
      </c>
      <c r="G370" s="4">
        <f t="shared" si="76"/>
        <v>-187.23802934796834</v>
      </c>
      <c r="I370" s="25">
        <f t="shared" si="77"/>
        <v>-9.6839364850893617</v>
      </c>
      <c r="J370">
        <f t="shared" si="78"/>
        <v>-0.61728092220733188</v>
      </c>
      <c r="K370" s="4">
        <f t="shared" si="79"/>
        <v>-193.32096819605715</v>
      </c>
      <c r="M370" s="3">
        <f t="shared" si="84"/>
        <v>41.400000000000773</v>
      </c>
      <c r="N370">
        <f t="shared" si="85"/>
        <v>96.599999999999483</v>
      </c>
      <c r="O370">
        <f t="shared" si="86"/>
        <v>-9.0662229348339451</v>
      </c>
      <c r="P370">
        <f t="shared" si="80"/>
        <v>-187.24554210908605</v>
      </c>
      <c r="Q370">
        <f t="shared" si="87"/>
        <v>0.43262804808463784</v>
      </c>
      <c r="R370">
        <f t="shared" si="88"/>
        <v>-7.5127611177094877</v>
      </c>
      <c r="S370" s="4">
        <f t="shared" si="89"/>
        <v>624.43969068545562</v>
      </c>
    </row>
    <row r="371" spans="1:19" x14ac:dyDescent="0.5">
      <c r="A371" s="3"/>
      <c r="C371">
        <f t="shared" si="81"/>
        <v>97.28999999999948</v>
      </c>
      <c r="D371" s="23">
        <f t="shared" si="75"/>
        <v>8.7075306749855663</v>
      </c>
      <c r="E371" s="92">
        <f t="shared" si="82"/>
        <v>0</v>
      </c>
      <c r="F371" s="3">
        <f t="shared" si="83"/>
        <v>-8.9374613211221643</v>
      </c>
      <c r="G371" s="4">
        <f t="shared" si="76"/>
        <v>-188.34337072203309</v>
      </c>
      <c r="I371" s="25">
        <f t="shared" si="77"/>
        <v>-9.5505450153723359</v>
      </c>
      <c r="J371">
        <f t="shared" si="78"/>
        <v>-0.61308369425017162</v>
      </c>
      <c r="K371" s="4">
        <f t="shared" si="79"/>
        <v>-194.69703099182854</v>
      </c>
      <c r="M371" s="3">
        <f t="shared" si="84"/>
        <v>40.710000000000775</v>
      </c>
      <c r="N371">
        <f t="shared" si="85"/>
        <v>97.28999999999948</v>
      </c>
      <c r="O371">
        <f t="shared" si="86"/>
        <v>-8.9370235092687267</v>
      </c>
      <c r="P371">
        <f t="shared" si="80"/>
        <v>-188.35053272754365</v>
      </c>
      <c r="Q371">
        <f t="shared" si="87"/>
        <v>0.43781185343760853</v>
      </c>
      <c r="R371">
        <f t="shared" si="88"/>
        <v>-7.1620055105654501</v>
      </c>
      <c r="S371" s="4">
        <f t="shared" si="89"/>
        <v>625.31171888927202</v>
      </c>
    </row>
    <row r="372" spans="1:19" x14ac:dyDescent="0.5">
      <c r="A372" s="3"/>
      <c r="C372">
        <f t="shared" si="81"/>
        <v>97.979999999999478</v>
      </c>
      <c r="D372" s="23">
        <f t="shared" si="75"/>
        <v>8.8272546769808873</v>
      </c>
      <c r="E372" s="92">
        <f t="shared" si="82"/>
        <v>0</v>
      </c>
      <c r="F372" s="3">
        <f t="shared" si="83"/>
        <v>-8.8075043937872977</v>
      </c>
      <c r="G372" s="4">
        <f t="shared" si="76"/>
        <v>-189.44718281873369</v>
      </c>
      <c r="I372" s="25">
        <f t="shared" si="77"/>
        <v>-9.4162040622904897</v>
      </c>
      <c r="J372">
        <f t="shared" si="78"/>
        <v>-0.60869966850319202</v>
      </c>
      <c r="K372" s="4">
        <f t="shared" si="79"/>
        <v>-196.07284071008573</v>
      </c>
      <c r="M372" s="3">
        <f t="shared" si="84"/>
        <v>40.020000000000778</v>
      </c>
      <c r="N372">
        <f t="shared" si="85"/>
        <v>97.979999999999478</v>
      </c>
      <c r="O372">
        <f t="shared" si="86"/>
        <v>-8.8070616401498825</v>
      </c>
      <c r="P372">
        <f t="shared" si="80"/>
        <v>-189.45398238178271</v>
      </c>
      <c r="Q372">
        <f t="shared" si="87"/>
        <v>0.44275363741519413</v>
      </c>
      <c r="R372">
        <f t="shared" si="88"/>
        <v>-6.7995630490145231</v>
      </c>
      <c r="S372" s="4">
        <f t="shared" si="89"/>
        <v>626.18423592025795</v>
      </c>
    </row>
    <row r="373" spans="1:19" x14ac:dyDescent="0.5">
      <c r="A373" s="3"/>
      <c r="C373">
        <f t="shared" si="81"/>
        <v>98.669999999999476</v>
      </c>
      <c r="D373" s="23">
        <f t="shared" si="75"/>
        <v>8.9477403093501096</v>
      </c>
      <c r="E373" s="92">
        <f t="shared" si="82"/>
        <v>0</v>
      </c>
      <c r="F373" s="3">
        <f t="shared" si="83"/>
        <v>-8.6767858360785315</v>
      </c>
      <c r="G373" s="4">
        <f t="shared" si="76"/>
        <v>-190.5494692002413</v>
      </c>
      <c r="I373" s="25">
        <f t="shared" si="77"/>
        <v>-9.2809138004668057</v>
      </c>
      <c r="J373">
        <f t="shared" si="78"/>
        <v>-0.60412796438827421</v>
      </c>
      <c r="K373" s="4">
        <f t="shared" si="79"/>
        <v>-197.44881914545184</v>
      </c>
      <c r="M373" s="3">
        <f t="shared" si="84"/>
        <v>39.33000000000078</v>
      </c>
      <c r="N373">
        <f t="shared" si="85"/>
        <v>98.669999999999476</v>
      </c>
      <c r="O373">
        <f t="shared" si="86"/>
        <v>-8.6763383907424441</v>
      </c>
      <c r="P373">
        <f t="shared" si="80"/>
        <v>-190.55589450351786</v>
      </c>
      <c r="Q373">
        <f t="shared" si="87"/>
        <v>0.44744533608742643</v>
      </c>
      <c r="R373">
        <f t="shared" si="88"/>
        <v>-6.42530327655777</v>
      </c>
      <c r="S373" s="4">
        <f t="shared" si="89"/>
        <v>627.05723126312068</v>
      </c>
    </row>
    <row r="374" spans="1:19" x14ac:dyDescent="0.5">
      <c r="A374" s="3"/>
      <c r="C374">
        <f t="shared" si="81"/>
        <v>99.359999999999474</v>
      </c>
      <c r="D374" s="23">
        <f t="shared" si="75"/>
        <v>9.0689865193500268</v>
      </c>
      <c r="E374" s="92">
        <f t="shared" si="82"/>
        <v>0</v>
      </c>
      <c r="F374" s="3">
        <f t="shared" si="83"/>
        <v>-8.5453067007390686</v>
      </c>
      <c r="G374" s="4">
        <f t="shared" si="76"/>
        <v>-191.6502334171191</v>
      </c>
      <c r="I374" s="25">
        <f t="shared" si="77"/>
        <v>-9.1446741134859622</v>
      </c>
      <c r="J374">
        <f t="shared" si="78"/>
        <v>-0.59936741274689354</v>
      </c>
      <c r="K374" s="4">
        <f t="shared" si="79"/>
        <v>-198.82479758007022</v>
      </c>
      <c r="M374" s="3">
        <f t="shared" si="84"/>
        <v>38.640000000000782</v>
      </c>
      <c r="N374">
        <f t="shared" si="85"/>
        <v>99.359999999999474</v>
      </c>
      <c r="O374">
        <f t="shared" si="86"/>
        <v>-8.5448548219435594</v>
      </c>
      <c r="P374">
        <f t="shared" si="80"/>
        <v>-191.65627253218693</v>
      </c>
      <c r="Q374">
        <f t="shared" si="87"/>
        <v>0.45187879550923071</v>
      </c>
      <c r="R374">
        <f t="shared" si="88"/>
        <v>-6.0391150678356098</v>
      </c>
      <c r="S374" s="4">
        <f t="shared" si="89"/>
        <v>627.93071343504425</v>
      </c>
    </row>
    <row r="375" spans="1:19" x14ac:dyDescent="0.5">
      <c r="A375" s="3"/>
      <c r="C375">
        <f t="shared" si="81"/>
        <v>100.04999999999947</v>
      </c>
      <c r="D375" s="23">
        <f t="shared" si="75"/>
        <v>9.1909922566873288</v>
      </c>
      <c r="E375" s="92">
        <f t="shared" si="82"/>
        <v>0</v>
      </c>
      <c r="F375" s="3">
        <f t="shared" si="83"/>
        <v>-8.4130680380622227</v>
      </c>
      <c r="G375" s="4">
        <f t="shared" si="76"/>
        <v>-192.74947900839933</v>
      </c>
      <c r="I375" s="25">
        <f t="shared" si="77"/>
        <v>-9.007485001347959</v>
      </c>
      <c r="J375">
        <f t="shared" si="78"/>
        <v>-0.59441696328573634</v>
      </c>
      <c r="K375" s="4">
        <f t="shared" si="79"/>
        <v>-200.20069165501025</v>
      </c>
      <c r="M375" s="3">
        <f t="shared" si="84"/>
        <v>37.950000000000784</v>
      </c>
      <c r="N375">
        <f t="shared" si="85"/>
        <v>100.04999999999947</v>
      </c>
      <c r="O375">
        <f t="shared" si="86"/>
        <v>-8.4126119922771636</v>
      </c>
      <c r="P375">
        <f t="shared" si="80"/>
        <v>-192.75511988148349</v>
      </c>
      <c r="Q375">
        <f t="shared" si="87"/>
        <v>0.45604578505908933</v>
      </c>
      <c r="R375">
        <f t="shared" si="88"/>
        <v>-5.6408730841610577</v>
      </c>
      <c r="S375" s="4">
        <f t="shared" si="89"/>
        <v>628.80467189546334</v>
      </c>
    </row>
    <row r="376" spans="1:19" x14ac:dyDescent="0.5">
      <c r="A376" s="3"/>
      <c r="C376">
        <f t="shared" si="81"/>
        <v>100.73999999999947</v>
      </c>
      <c r="D376" s="23">
        <f t="shared" si="75"/>
        <v>9.3137564735106313</v>
      </c>
      <c r="E376" s="92">
        <f t="shared" si="82"/>
        <v>0</v>
      </c>
      <c r="F376" s="3">
        <f t="shared" si="83"/>
        <v>-8.2800708958993745</v>
      </c>
      <c r="G376" s="4">
        <f t="shared" si="76"/>
        <v>-193.84720950164268</v>
      </c>
      <c r="I376" s="25">
        <f t="shared" si="77"/>
        <v>-8.8693465222604573</v>
      </c>
      <c r="J376">
        <f t="shared" si="78"/>
        <v>-0.58927562636108277</v>
      </c>
      <c r="K376" s="4">
        <f t="shared" si="79"/>
        <v>-201.57667008811774</v>
      </c>
      <c r="M376" s="3">
        <f t="shared" si="84"/>
        <v>37.260000000000787</v>
      </c>
      <c r="N376">
        <f t="shared" si="85"/>
        <v>100.73999999999947</v>
      </c>
      <c r="O376">
        <f t="shared" si="86"/>
        <v>-8.2796109579117427</v>
      </c>
      <c r="P376">
        <f t="shared" si="80"/>
        <v>-193.85243997282453</v>
      </c>
      <c r="Q376">
        <f t="shared" si="87"/>
        <v>0.45993798763177551</v>
      </c>
      <c r="R376">
        <f t="shared" si="88"/>
        <v>-5.2304711818464966</v>
      </c>
      <c r="S376" s="4">
        <f t="shared" si="89"/>
        <v>629.67911080506178</v>
      </c>
    </row>
    <row r="377" spans="1:19" x14ac:dyDescent="0.5">
      <c r="A377" s="3"/>
      <c r="C377">
        <f t="shared" si="81"/>
        <v>101.42999999999947</v>
      </c>
      <c r="D377" s="23">
        <f t="shared" si="75"/>
        <v>9.4372781244025745</v>
      </c>
      <c r="E377" s="92">
        <f t="shared" si="82"/>
        <v>0</v>
      </c>
      <c r="F377" s="3">
        <f t="shared" si="83"/>
        <v>-8.1463163196678874</v>
      </c>
      <c r="G377" s="4">
        <f t="shared" si="76"/>
        <v>-194.94342841294838</v>
      </c>
      <c r="I377" s="25">
        <f t="shared" si="77"/>
        <v>-8.7302586180157959</v>
      </c>
      <c r="J377">
        <f t="shared" si="78"/>
        <v>-0.58394229834790856</v>
      </c>
      <c r="K377" s="4">
        <f t="shared" si="79"/>
        <v>-202.95264852046193</v>
      </c>
      <c r="M377" s="3">
        <f t="shared" si="84"/>
        <v>36.570000000000789</v>
      </c>
      <c r="N377">
        <f t="shared" si="85"/>
        <v>101.42999999999947</v>
      </c>
      <c r="O377">
        <f t="shared" si="86"/>
        <v>-8.1458527726550045</v>
      </c>
      <c r="P377">
        <f t="shared" si="80"/>
        <v>-194.94823620960585</v>
      </c>
      <c r="Q377">
        <f t="shared" si="87"/>
        <v>0.46354701288287004</v>
      </c>
      <c r="R377">
        <f t="shared" si="88"/>
        <v>-4.8077966574737729</v>
      </c>
      <c r="S377" s="4">
        <f t="shared" si="89"/>
        <v>630.55405219776083</v>
      </c>
    </row>
    <row r="378" spans="1:19" x14ac:dyDescent="0.5">
      <c r="A378" s="3"/>
      <c r="C378">
        <f t="shared" si="81"/>
        <v>102.11999999999946</v>
      </c>
      <c r="D378" s="23">
        <f t="shared" si="75"/>
        <v>9.5615561663719006</v>
      </c>
      <c r="E378" s="92">
        <f t="shared" si="82"/>
        <v>0</v>
      </c>
      <c r="F378" s="3">
        <f t="shared" si="83"/>
        <v>-8.0118053523590156</v>
      </c>
      <c r="G378" s="4">
        <f t="shared" si="76"/>
        <v>-196.03813924704704</v>
      </c>
      <c r="I378" s="25">
        <f t="shared" si="77"/>
        <v>-8.590221288613975</v>
      </c>
      <c r="J378">
        <f t="shared" si="78"/>
        <v>-0.57841593625495946</v>
      </c>
      <c r="K378" s="4">
        <f t="shared" si="79"/>
        <v>-204.3285425931123</v>
      </c>
      <c r="M378" s="3">
        <f t="shared" si="84"/>
        <v>35.880000000000791</v>
      </c>
      <c r="N378">
        <f t="shared" si="85"/>
        <v>102.11999999999946</v>
      </c>
      <c r="O378">
        <f t="shared" si="86"/>
        <v>-8.011338487966313</v>
      </c>
      <c r="P378">
        <f t="shared" si="80"/>
        <v>-196.04251194630922</v>
      </c>
      <c r="Q378">
        <f t="shared" si="87"/>
        <v>0.46686439270260394</v>
      </c>
      <c r="R378">
        <f t="shared" si="88"/>
        <v>-4.3726992621770933</v>
      </c>
      <c r="S378" s="4">
        <f t="shared" si="89"/>
        <v>631.42944697355665</v>
      </c>
    </row>
    <row r="379" spans="1:19" x14ac:dyDescent="0.5">
      <c r="A379" s="3"/>
      <c r="C379">
        <f t="shared" si="81"/>
        <v>102.80999999999946</v>
      </c>
      <c r="D379" s="23">
        <f t="shared" si="75"/>
        <v>9.6865895588456237</v>
      </c>
      <c r="E379" s="92">
        <f t="shared" si="82"/>
        <v>0</v>
      </c>
      <c r="F379" s="3">
        <f t="shared" si="83"/>
        <v>-7.8765390345457487</v>
      </c>
      <c r="G379" s="4">
        <f t="shared" si="76"/>
        <v>-197.13134549733925</v>
      </c>
      <c r="I379" s="25">
        <f t="shared" si="77"/>
        <v>-8.4492345922626555</v>
      </c>
      <c r="J379">
        <f t="shared" si="78"/>
        <v>-0.57269555771690683</v>
      </c>
      <c r="K379" s="4">
        <f t="shared" si="79"/>
        <v>-205.70460538283962</v>
      </c>
      <c r="M379" s="3">
        <f t="shared" si="84"/>
        <v>35.190000000000794</v>
      </c>
      <c r="N379">
        <f t="shared" si="85"/>
        <v>102.80999999999946</v>
      </c>
      <c r="O379">
        <f t="shared" si="86"/>
        <v>-7.8760691529904392</v>
      </c>
      <c r="P379">
        <f t="shared" si="80"/>
        <v>-197.13527061207492</v>
      </c>
      <c r="Q379">
        <f t="shared" si="87"/>
        <v>0.4698815553094704</v>
      </c>
      <c r="R379">
        <f t="shared" si="88"/>
        <v>-3.9251147356651472</v>
      </c>
      <c r="S379" s="4">
        <f t="shared" si="89"/>
        <v>632.3053454560378</v>
      </c>
    </row>
    <row r="380" spans="1:19" x14ac:dyDescent="0.5">
      <c r="A380" s="3"/>
      <c r="C380">
        <f t="shared" si="81"/>
        <v>103.49999999999946</v>
      </c>
      <c r="D380" s="23">
        <f t="shared" si="75"/>
        <v>9.8123772636611992</v>
      </c>
      <c r="E380" s="92">
        <f t="shared" si="82"/>
        <v>0</v>
      </c>
      <c r="F380" s="3">
        <f t="shared" si="83"/>
        <v>-7.7405184043906292</v>
      </c>
      <c r="G380" s="4">
        <f t="shared" si="76"/>
        <v>-198.22305064591353</v>
      </c>
      <c r="I380" s="25">
        <f t="shared" si="77"/>
        <v>-8.3072984125465155</v>
      </c>
      <c r="J380">
        <f t="shared" si="78"/>
        <v>-0.56678000815588625</v>
      </c>
      <c r="K380" s="4">
        <f t="shared" si="79"/>
        <v>-207.08041509501217</v>
      </c>
      <c r="M380" s="3">
        <f t="shared" si="84"/>
        <v>34.500000000000796</v>
      </c>
      <c r="N380">
        <f t="shared" si="85"/>
        <v>103.49999999999946</v>
      </c>
      <c r="O380">
        <f t="shared" si="86"/>
        <v>-7.7400458145060469</v>
      </c>
      <c r="P380">
        <f t="shared" si="80"/>
        <v>-198.22651553821476</v>
      </c>
      <c r="Q380">
        <f t="shared" si="87"/>
        <v>0.47258988458231954</v>
      </c>
      <c r="R380">
        <f t="shared" si="88"/>
        <v>-3.4648923012241539</v>
      </c>
      <c r="S380" s="4">
        <f t="shared" si="89"/>
        <v>633.18172376111636</v>
      </c>
    </row>
    <row r="381" spans="1:19" x14ac:dyDescent="0.5">
      <c r="A381" s="3"/>
      <c r="C381">
        <f t="shared" si="81"/>
        <v>104.18999999999946</v>
      </c>
      <c r="D381" s="23">
        <f t="shared" si="75"/>
        <v>9.9389182450587246</v>
      </c>
      <c r="E381" s="92">
        <f t="shared" si="82"/>
        <v>0</v>
      </c>
      <c r="F381" s="3">
        <f t="shared" si="83"/>
        <v>-7.6037444976535582</v>
      </c>
      <c r="G381" s="4">
        <f t="shared" si="76"/>
        <v>-199.31325816363133</v>
      </c>
      <c r="I381" s="25">
        <f t="shared" si="77"/>
        <v>-8.1644129240885377</v>
      </c>
      <c r="J381">
        <f t="shared" si="78"/>
        <v>-0.56066842643497949</v>
      </c>
      <c r="K381" s="4">
        <f t="shared" si="79"/>
        <v>-208.45647788317635</v>
      </c>
      <c r="M381" s="3">
        <f t="shared" si="84"/>
        <v>33.810000000000798</v>
      </c>
      <c r="N381">
        <f t="shared" si="85"/>
        <v>104.18999999999946</v>
      </c>
      <c r="O381">
        <f t="shared" si="86"/>
        <v>-7.6032695169931941</v>
      </c>
      <c r="P381">
        <f t="shared" si="80"/>
        <v>-199.31625008693385</v>
      </c>
      <c r="Q381">
        <f t="shared" si="87"/>
        <v>0.47498066036411046</v>
      </c>
      <c r="R381">
        <f t="shared" si="88"/>
        <v>-2.9919233025168523</v>
      </c>
      <c r="S381" s="4">
        <f t="shared" si="89"/>
        <v>634.05859376362025</v>
      </c>
    </row>
    <row r="382" spans="1:19" x14ac:dyDescent="0.5">
      <c r="A382" s="3"/>
      <c r="C382">
        <f t="shared" si="81"/>
        <v>104.87999999999946</v>
      </c>
      <c r="D382" s="23">
        <f t="shared" si="75"/>
        <v>10.066211469673197</v>
      </c>
      <c r="E382" s="92">
        <f t="shared" si="82"/>
        <v>0</v>
      </c>
      <c r="F382" s="3">
        <f t="shared" si="83"/>
        <v>-7.4662183476995416</v>
      </c>
      <c r="G382" s="4">
        <f t="shared" si="76"/>
        <v>-200.40197151016562</v>
      </c>
      <c r="I382" s="25">
        <f t="shared" si="77"/>
        <v>-8.0205779522657394</v>
      </c>
      <c r="J382">
        <f t="shared" si="78"/>
        <v>-0.55435960456619782</v>
      </c>
      <c r="K382" s="4">
        <f t="shared" si="79"/>
        <v>-209.83237195270081</v>
      </c>
      <c r="M382" s="3">
        <f t="shared" si="84"/>
        <v>33.1200000000008</v>
      </c>
      <c r="N382">
        <f t="shared" si="85"/>
        <v>104.87999999999946</v>
      </c>
      <c r="O382">
        <f t="shared" si="86"/>
        <v>-7.4657413026120167</v>
      </c>
      <c r="P382">
        <f t="shared" si="80"/>
        <v>-200.40447758954417</v>
      </c>
      <c r="Q382">
        <f t="shared" si="87"/>
        <v>0.4770450875248855</v>
      </c>
      <c r="R382">
        <f t="shared" si="88"/>
        <v>-2.5060793785485203</v>
      </c>
      <c r="S382" s="4">
        <f t="shared" si="89"/>
        <v>634.93593440369841</v>
      </c>
    </row>
    <row r="383" spans="1:19" x14ac:dyDescent="0.5">
      <c r="A383" s="3"/>
      <c r="C383">
        <f t="shared" si="81"/>
        <v>105.56999999999945</v>
      </c>
      <c r="D383" s="23">
        <f t="shared" si="75"/>
        <v>10.194255906526783</v>
      </c>
      <c r="E383" s="92">
        <f t="shared" si="82"/>
        <v>0</v>
      </c>
      <c r="F383" s="3">
        <f t="shared" si="83"/>
        <v>-7.3279409855064106</v>
      </c>
      <c r="G383" s="4">
        <f t="shared" si="76"/>
        <v>-201.48919413403695</v>
      </c>
      <c r="I383" s="25">
        <f t="shared" si="77"/>
        <v>-7.8757936134934425</v>
      </c>
      <c r="J383">
        <f t="shared" si="78"/>
        <v>-0.54785262798703194</v>
      </c>
      <c r="K383" s="4">
        <f t="shared" si="79"/>
        <v>-211.2082660214308</v>
      </c>
      <c r="M383" s="3">
        <f t="shared" si="84"/>
        <v>32.430000000000803</v>
      </c>
      <c r="N383">
        <f t="shared" si="85"/>
        <v>105.56999999999945</v>
      </c>
      <c r="O383">
        <f t="shared" si="86"/>
        <v>-7.3274622112240451</v>
      </c>
      <c r="P383">
        <f t="shared" si="80"/>
        <v>-201.49120140310185</v>
      </c>
      <c r="Q383">
        <f t="shared" si="87"/>
        <v>0.47877428236553499</v>
      </c>
      <c r="R383">
        <f t="shared" si="88"/>
        <v>-2.0072690649044489</v>
      </c>
      <c r="S383" s="4">
        <f t="shared" si="89"/>
        <v>635.81376061204423</v>
      </c>
    </row>
    <row r="384" spans="1:19" x14ac:dyDescent="0.5">
      <c r="A384" s="3"/>
      <c r="C384">
        <f t="shared" si="81"/>
        <v>106.25999999999945</v>
      </c>
      <c r="D384" s="23">
        <f t="shared" si="75"/>
        <v>10.323050527021133</v>
      </c>
      <c r="E384" s="92">
        <f t="shared" si="82"/>
        <v>0</v>
      </c>
      <c r="F384" s="3">
        <f t="shared" si="83"/>
        <v>-7.1889134396725165</v>
      </c>
      <c r="G384" s="4">
        <f t="shared" si="76"/>
        <v>-202.57492947269074</v>
      </c>
      <c r="I384" s="25">
        <f t="shared" si="77"/>
        <v>-7.730059907771647</v>
      </c>
      <c r="J384">
        <f t="shared" si="78"/>
        <v>-0.54114646809913047</v>
      </c>
      <c r="K384" s="4">
        <f t="shared" si="79"/>
        <v>-212.58432880721119</v>
      </c>
      <c r="M384" s="3">
        <f t="shared" si="84"/>
        <v>31.740000000000801</v>
      </c>
      <c r="N384">
        <f t="shared" si="85"/>
        <v>106.25999999999945</v>
      </c>
      <c r="O384">
        <f t="shared" si="86"/>
        <v>-7.18843328037444</v>
      </c>
      <c r="P384">
        <f t="shared" si="80"/>
        <v>-202.57642484862117</v>
      </c>
      <c r="Q384">
        <f t="shared" si="87"/>
        <v>0.48015929807654345</v>
      </c>
      <c r="R384">
        <f t="shared" si="88"/>
        <v>-1.4953759304319192</v>
      </c>
      <c r="S384" s="4">
        <f t="shared" si="89"/>
        <v>636.69209809743586</v>
      </c>
    </row>
    <row r="385" spans="1:19" x14ac:dyDescent="0.5">
      <c r="A385" s="3"/>
      <c r="C385">
        <f t="shared" si="81"/>
        <v>106.94999999999945</v>
      </c>
      <c r="D385" s="23">
        <f t="shared" si="75"/>
        <v>10.452594304929733</v>
      </c>
      <c r="E385" s="92">
        <f t="shared" si="82"/>
        <v>0</v>
      </c>
      <c r="F385" s="3">
        <f t="shared" si="83"/>
        <v>-7.0491367364243729</v>
      </c>
      <c r="G385" s="4">
        <f t="shared" si="76"/>
        <v>-203.65918095251524</v>
      </c>
      <c r="I385" s="25">
        <f t="shared" si="77"/>
        <v>-7.5833767186850309</v>
      </c>
      <c r="J385">
        <f t="shared" si="78"/>
        <v>-0.53423998226065805</v>
      </c>
      <c r="K385" s="4">
        <f t="shared" si="79"/>
        <v>-213.96022287433655</v>
      </c>
      <c r="M385" s="3">
        <f t="shared" si="84"/>
        <v>31.0500000000008</v>
      </c>
      <c r="N385">
        <f t="shared" si="85"/>
        <v>106.94999999999945</v>
      </c>
      <c r="O385">
        <f t="shared" si="86"/>
        <v>-7.048655545316862</v>
      </c>
      <c r="P385">
        <f t="shared" si="80"/>
        <v>-203.66015119305337</v>
      </c>
      <c r="Q385">
        <f t="shared" si="87"/>
        <v>0.48119110751088101</v>
      </c>
      <c r="R385">
        <f t="shared" si="88"/>
        <v>-0.97024053812333477</v>
      </c>
      <c r="S385" s="4">
        <f t="shared" si="89"/>
        <v>637.57089249414378</v>
      </c>
    </row>
    <row r="386" spans="1:19" x14ac:dyDescent="0.5">
      <c r="A386" s="3"/>
      <c r="C386">
        <f t="shared" si="81"/>
        <v>107.63999999999945</v>
      </c>
      <c r="D386" s="23">
        <f t="shared" si="75"/>
        <v>10.582886216390275</v>
      </c>
      <c r="E386" s="92">
        <f t="shared" si="82"/>
        <v>0</v>
      </c>
      <c r="F386" s="3">
        <f t="shared" si="83"/>
        <v>-6.9086118996242849</v>
      </c>
      <c r="G386" s="4">
        <f t="shared" si="76"/>
        <v>-204.74195198888265</v>
      </c>
      <c r="I386" s="25">
        <f t="shared" si="77"/>
        <v>-7.4357441626489162</v>
      </c>
      <c r="J386">
        <f t="shared" si="78"/>
        <v>-0.52713226302463134</v>
      </c>
      <c r="K386" s="4">
        <f t="shared" si="79"/>
        <v>-215.33611694065183</v>
      </c>
      <c r="M386" s="3">
        <f t="shared" si="84"/>
        <v>30.360000000000799</v>
      </c>
      <c r="N386">
        <f t="shared" si="85"/>
        <v>107.63999999999945</v>
      </c>
      <c r="O386">
        <f t="shared" si="86"/>
        <v>-6.9081300390507749</v>
      </c>
      <c r="P386">
        <f t="shared" si="80"/>
        <v>-204.74238378573142</v>
      </c>
      <c r="Q386">
        <f t="shared" si="87"/>
        <v>0.48186057350996236</v>
      </c>
      <c r="R386">
        <f t="shared" si="88"/>
        <v>-0.43179684877259206</v>
      </c>
      <c r="S386" s="4">
        <f t="shared" si="89"/>
        <v>638.45018619350458</v>
      </c>
    </row>
    <row r="387" spans="1:19" x14ac:dyDescent="0.5">
      <c r="A387" s="3"/>
      <c r="C387">
        <f t="shared" si="81"/>
        <v>108.32999999999944</v>
      </c>
      <c r="D387" s="23">
        <f t="shared" si="75"/>
        <v>10.713925239897065</v>
      </c>
      <c r="E387" s="92">
        <f t="shared" si="82"/>
        <v>0</v>
      </c>
      <c r="F387" s="3">
        <f t="shared" si="83"/>
        <v>-6.7673399507779504</v>
      </c>
      <c r="G387" s="4">
        <f t="shared" si="76"/>
        <v>-205.82324598623674</v>
      </c>
      <c r="I387" s="25">
        <f t="shared" si="77"/>
        <v>-7.2871622396633029</v>
      </c>
      <c r="J387">
        <f t="shared" si="78"/>
        <v>-0.51982228888535253</v>
      </c>
      <c r="K387" s="4">
        <f t="shared" si="79"/>
        <v>-216.71217972400157</v>
      </c>
      <c r="M387" s="3">
        <f t="shared" si="84"/>
        <v>29.670000000000798</v>
      </c>
      <c r="N387">
        <f t="shared" si="85"/>
        <v>108.32999999999944</v>
      </c>
      <c r="O387">
        <f t="shared" si="86"/>
        <v>-6.7668577922646023</v>
      </c>
      <c r="P387">
        <f t="shared" si="80"/>
        <v>-205.82312589360649</v>
      </c>
      <c r="Q387">
        <f t="shared" si="87"/>
        <v>0.48215851334809656</v>
      </c>
      <c r="R387">
        <f t="shared" si="88"/>
        <v>0.12009263025447581</v>
      </c>
      <c r="S387" s="4">
        <f t="shared" si="89"/>
        <v>639.329970229016</v>
      </c>
    </row>
    <row r="388" spans="1:19" x14ac:dyDescent="0.5">
      <c r="A388" s="3"/>
      <c r="C388">
        <f t="shared" si="81"/>
        <v>109.01999999999944</v>
      </c>
      <c r="D388" s="23">
        <f t="shared" si="75"/>
        <v>10.84571035629347</v>
      </c>
      <c r="E388" s="92">
        <f t="shared" si="82"/>
        <v>0</v>
      </c>
      <c r="F388" s="3">
        <f t="shared" si="83"/>
        <v>-6.6253219090420004</v>
      </c>
      <c r="G388" s="4">
        <f t="shared" si="76"/>
        <v>-206.90306633812384</v>
      </c>
      <c r="I388" s="25">
        <f t="shared" si="77"/>
        <v>-7.1376308333128691</v>
      </c>
      <c r="J388">
        <f t="shared" si="78"/>
        <v>-0.51230892427086872</v>
      </c>
      <c r="K388" s="4">
        <f t="shared" si="79"/>
        <v>-218.0880737886809</v>
      </c>
      <c r="M388" s="3">
        <f t="shared" si="84"/>
        <v>28.980000000000796</v>
      </c>
      <c r="N388">
        <f t="shared" si="85"/>
        <v>109.01999999999944</v>
      </c>
      <c r="O388">
        <f t="shared" si="86"/>
        <v>-6.6248398333925707</v>
      </c>
      <c r="P388">
        <f t="shared" si="80"/>
        <v>-206.90238078877874</v>
      </c>
      <c r="Q388">
        <f t="shared" si="87"/>
        <v>0.48207564942970293</v>
      </c>
      <c r="R388">
        <f t="shared" si="88"/>
        <v>0.68554934509279519</v>
      </c>
      <c r="S388" s="4">
        <f t="shared" si="89"/>
        <v>640.21022944203958</v>
      </c>
    </row>
    <row r="389" spans="1:19" x14ac:dyDescent="0.5">
      <c r="A389" s="3"/>
      <c r="C389">
        <f t="shared" si="81"/>
        <v>109.70999999999944</v>
      </c>
      <c r="D389" s="23">
        <f t="shared" si="75"/>
        <v>10.978240548764408</v>
      </c>
      <c r="E389" s="92">
        <f t="shared" si="82"/>
        <v>0</v>
      </c>
      <c r="F389" s="3">
        <f t="shared" si="83"/>
        <v>-6.4825587912315186</v>
      </c>
      <c r="G389" s="4">
        <f t="shared" si="76"/>
        <v>-207.98141642721703</v>
      </c>
      <c r="I389" s="25">
        <f t="shared" si="77"/>
        <v>-6.9871500600129366</v>
      </c>
      <c r="J389">
        <f t="shared" si="78"/>
        <v>-0.50459126878141802</v>
      </c>
      <c r="K389" s="4">
        <f t="shared" si="79"/>
        <v>-219.46405221145932</v>
      </c>
      <c r="M389" s="3">
        <f t="shared" si="84"/>
        <v>28.290000000000795</v>
      </c>
      <c r="N389">
        <f t="shared" si="85"/>
        <v>109.70999999999944</v>
      </c>
      <c r="O389">
        <f t="shared" si="86"/>
        <v>-6.4820771886111572</v>
      </c>
      <c r="P389">
        <f t="shared" si="80"/>
        <v>-207.98015175879488</v>
      </c>
      <c r="Q389">
        <f t="shared" si="87"/>
        <v>0.48160262036134327</v>
      </c>
      <c r="R389">
        <f t="shared" si="88"/>
        <v>1.2646684221522264</v>
      </c>
      <c r="S389" s="4">
        <f t="shared" si="89"/>
        <v>641.09098686737366</v>
      </c>
    </row>
    <row r="390" spans="1:19" x14ac:dyDescent="0.5">
      <c r="A390" s="3"/>
      <c r="C390">
        <f t="shared" si="81"/>
        <v>110.39999999999944</v>
      </c>
      <c r="D390" s="23">
        <f t="shared" si="75"/>
        <v>11.111514802828838</v>
      </c>
      <c r="E390" s="92">
        <f t="shared" si="82"/>
        <v>0</v>
      </c>
      <c r="F390" s="3">
        <f t="shared" si="83"/>
        <v>-6.3390516118275437</v>
      </c>
      <c r="G390" s="4">
        <f t="shared" si="76"/>
        <v>-209.05829962537308</v>
      </c>
      <c r="I390" s="25">
        <f t="shared" si="77"/>
        <v>-6.8357198615558445</v>
      </c>
      <c r="J390">
        <f t="shared" si="78"/>
        <v>-0.49666824972830081</v>
      </c>
      <c r="K390" s="4">
        <f t="shared" si="79"/>
        <v>-220.839946274482</v>
      </c>
      <c r="M390" s="3">
        <f t="shared" si="84"/>
        <v>27.600000000000794</v>
      </c>
      <c r="N390">
        <f t="shared" si="85"/>
        <v>110.39999999999944</v>
      </c>
      <c r="O390">
        <f t="shared" si="86"/>
        <v>-6.3385708818284314</v>
      </c>
      <c r="P390">
        <f t="shared" si="80"/>
        <v>-209.05644204228742</v>
      </c>
      <c r="Q390">
        <f t="shared" si="87"/>
        <v>0.48072999911230596</v>
      </c>
      <c r="R390">
        <f t="shared" si="88"/>
        <v>1.8575830856661923</v>
      </c>
      <c r="S390" s="4">
        <f t="shared" si="89"/>
        <v>641.97223198931363</v>
      </c>
    </row>
    <row r="391" spans="1:19" x14ac:dyDescent="0.5">
      <c r="A391" s="3"/>
      <c r="C391">
        <f t="shared" si="81"/>
        <v>111.08999999999943</v>
      </c>
      <c r="D391" s="23">
        <f t="shared" si="75"/>
        <v>11.245532106332304</v>
      </c>
      <c r="E391" s="92">
        <f t="shared" si="82"/>
        <v>0</v>
      </c>
      <c r="F391" s="3">
        <f t="shared" si="83"/>
        <v>-6.194801382984533</v>
      </c>
      <c r="G391" s="4">
        <f t="shared" si="76"/>
        <v>-210.13371929372741</v>
      </c>
      <c r="I391" s="25">
        <f t="shared" si="77"/>
        <v>-6.6833402961492538</v>
      </c>
      <c r="J391">
        <f t="shared" si="78"/>
        <v>-0.48853891316472087</v>
      </c>
      <c r="K391" s="4">
        <f t="shared" si="79"/>
        <v>-222.2159246955932</v>
      </c>
      <c r="M391" s="3">
        <f t="shared" si="84"/>
        <v>26.910000000000792</v>
      </c>
      <c r="N391">
        <f t="shared" si="85"/>
        <v>111.08999999999943</v>
      </c>
      <c r="O391">
        <f t="shared" si="86"/>
        <v>-6.1943219347178058</v>
      </c>
      <c r="P391">
        <f t="shared" si="80"/>
        <v>-210.13125488561221</v>
      </c>
      <c r="Q391">
        <f t="shared" si="87"/>
        <v>0.47944826672718932</v>
      </c>
      <c r="R391">
        <f t="shared" si="88"/>
        <v>2.4644081152018771</v>
      </c>
      <c r="S391" s="4">
        <f t="shared" si="89"/>
        <v>642.85396499331421</v>
      </c>
    </row>
    <row r="392" spans="1:19" x14ac:dyDescent="0.5">
      <c r="A392" s="3"/>
      <c r="C392">
        <f t="shared" si="81"/>
        <v>111.77999999999943</v>
      </c>
      <c r="D392" s="23">
        <f t="shared" si="75"/>
        <v>11.380291449439532</v>
      </c>
      <c r="E392" s="92">
        <f t="shared" si="82"/>
        <v>0</v>
      </c>
      <c r="F392" s="3">
        <f t="shared" si="83"/>
        <v>-6.0498091145377595</v>
      </c>
      <c r="G392" s="4">
        <f t="shared" si="76"/>
        <v>-211.20767878266093</v>
      </c>
      <c r="I392" s="25">
        <f t="shared" si="77"/>
        <v>-6.5300113055855036</v>
      </c>
      <c r="J392">
        <f t="shared" si="78"/>
        <v>-0.48020219104774409</v>
      </c>
      <c r="K392" s="4">
        <f t="shared" si="79"/>
        <v>-223.59190311586298</v>
      </c>
      <c r="M392" s="3">
        <f t="shared" si="84"/>
        <v>26.220000000000791</v>
      </c>
      <c r="N392">
        <f t="shared" si="85"/>
        <v>111.77999999999943</v>
      </c>
      <c r="O392">
        <f t="shared" si="86"/>
        <v>-6.0493313667127069</v>
      </c>
      <c r="P392">
        <f t="shared" si="80"/>
        <v>-211.20459352482737</v>
      </c>
      <c r="Q392">
        <f t="shared" si="87"/>
        <v>0.47774782505261015</v>
      </c>
      <c r="R392">
        <f t="shared" si="88"/>
        <v>3.0852578335611724</v>
      </c>
      <c r="S392" s="4">
        <f t="shared" si="89"/>
        <v>643.73618763697857</v>
      </c>
    </row>
    <row r="393" spans="1:19" x14ac:dyDescent="0.5">
      <c r="A393" s="3"/>
      <c r="C393">
        <f t="shared" si="81"/>
        <v>112.46999999999943</v>
      </c>
      <c r="D393" s="23">
        <f t="shared" si="75"/>
        <v>11.515791824627014</v>
      </c>
      <c r="E393" s="92">
        <f t="shared" si="82"/>
        <v>0</v>
      </c>
      <c r="F393" s="3">
        <f t="shared" si="83"/>
        <v>-5.9040758140107332</v>
      </c>
      <c r="G393" s="4">
        <f t="shared" si="76"/>
        <v>-212.28018143191173</v>
      </c>
      <c r="I393" s="25">
        <f t="shared" si="77"/>
        <v>-6.3757328898645937</v>
      </c>
      <c r="J393">
        <f t="shared" si="78"/>
        <v>-0.47165707585386052</v>
      </c>
      <c r="K393" s="4">
        <f t="shared" si="79"/>
        <v>-224.96788153528607</v>
      </c>
      <c r="M393" s="3">
        <f t="shared" si="84"/>
        <v>25.53000000000079</v>
      </c>
      <c r="N393">
        <f t="shared" si="85"/>
        <v>112.46999999999943</v>
      </c>
      <c r="O393">
        <f t="shared" si="86"/>
        <v>-5.9036001950136807</v>
      </c>
      <c r="P393">
        <f t="shared" si="80"/>
        <v>-212.27646118311895</v>
      </c>
      <c r="Q393">
        <f t="shared" si="87"/>
        <v>0.4756189970525071</v>
      </c>
      <c r="R393">
        <f t="shared" si="88"/>
        <v>3.7202487927743277</v>
      </c>
      <c r="S393" s="4">
        <f t="shared" si="89"/>
        <v>644.6188877678693</v>
      </c>
    </row>
    <row r="394" spans="1:19" x14ac:dyDescent="0.5">
      <c r="A394" s="3"/>
      <c r="C394">
        <f t="shared" si="81"/>
        <v>113.15999999999943</v>
      </c>
      <c r="D394" s="23">
        <f t="shared" si="75"/>
        <v>11.652032226675658</v>
      </c>
      <c r="E394" s="92">
        <f t="shared" si="82"/>
        <v>0</v>
      </c>
      <c r="F394" s="3">
        <f t="shared" si="83"/>
        <v>-5.7576024866225444</v>
      </c>
      <c r="G394" s="4">
        <f t="shared" si="76"/>
        <v>-213.35123057056754</v>
      </c>
      <c r="I394" s="25">
        <f t="shared" si="77"/>
        <v>-6.2205050489865243</v>
      </c>
      <c r="J394">
        <f t="shared" si="78"/>
        <v>-0.46290256236397997</v>
      </c>
      <c r="K394" s="4">
        <f t="shared" si="79"/>
        <v>-226.34377559493274</v>
      </c>
      <c r="M394" s="3">
        <f t="shared" si="84"/>
        <v>24.840000000000789</v>
      </c>
      <c r="N394">
        <f t="shared" si="85"/>
        <v>113.15999999999943</v>
      </c>
      <c r="O394">
        <f t="shared" si="86"/>
        <v>-5.7571294345972746</v>
      </c>
      <c r="P394">
        <f t="shared" si="80"/>
        <v>-213.34686109397057</v>
      </c>
      <c r="Q394">
        <f t="shared" si="87"/>
        <v>0.4730520252698156</v>
      </c>
      <c r="R394">
        <f t="shared" si="88"/>
        <v>4.3694765969632954</v>
      </c>
      <c r="S394" s="4">
        <f t="shared" si="89"/>
        <v>645.50209665348768</v>
      </c>
    </row>
    <row r="395" spans="1:19" x14ac:dyDescent="0.5">
      <c r="A395" s="3"/>
      <c r="C395">
        <f t="shared" si="81"/>
        <v>113.84999999999943</v>
      </c>
      <c r="D395" s="23">
        <f t="shared" si="75"/>
        <v>11.789011652663445</v>
      </c>
      <c r="E395" s="92">
        <f t="shared" si="82"/>
        <v>0</v>
      </c>
      <c r="F395" s="3">
        <f t="shared" si="83"/>
        <v>-5.6103901352952121</v>
      </c>
      <c r="G395" s="4">
        <f t="shared" si="76"/>
        <v>-214.42082951718933</v>
      </c>
      <c r="I395" s="25">
        <f t="shared" si="77"/>
        <v>-6.0643278411589563</v>
      </c>
      <c r="J395">
        <f t="shared" si="78"/>
        <v>-0.45393770586374416</v>
      </c>
      <c r="K395" s="4">
        <f t="shared" si="79"/>
        <v>-227.71966965372246</v>
      </c>
      <c r="M395" s="3">
        <f t="shared" si="84"/>
        <v>24.150000000000787</v>
      </c>
      <c r="N395">
        <f t="shared" si="85"/>
        <v>113.84999999999943</v>
      </c>
      <c r="O395">
        <f t="shared" si="86"/>
        <v>-5.6099200982089314</v>
      </c>
      <c r="P395">
        <f t="shared" si="80"/>
        <v>-214.41579642907979</v>
      </c>
      <c r="Q395">
        <f t="shared" si="87"/>
        <v>0.47003708628068352</v>
      </c>
      <c r="R395">
        <f t="shared" si="88"/>
        <v>5.03308810954195</v>
      </c>
      <c r="S395" s="4">
        <f t="shared" si="89"/>
        <v>646.38578669092044</v>
      </c>
    </row>
    <row r="396" spans="1:19" x14ac:dyDescent="0.5">
      <c r="A396" s="3"/>
      <c r="C396">
        <f t="shared" si="81"/>
        <v>114.53999999999942</v>
      </c>
      <c r="D396" s="23">
        <f t="shared" si="75"/>
        <v>11.926729101958164</v>
      </c>
      <c r="E396" s="92">
        <f t="shared" si="82"/>
        <v>0</v>
      </c>
      <c r="F396" s="3">
        <f t="shared" si="83"/>
        <v>-5.4624397606609483</v>
      </c>
      <c r="G396" s="4">
        <f t="shared" si="76"/>
        <v>-215.48898157975449</v>
      </c>
      <c r="I396" s="25">
        <f t="shared" si="77"/>
        <v>-5.9072012663818896</v>
      </c>
      <c r="J396">
        <f t="shared" si="78"/>
        <v>-0.44476150572094131</v>
      </c>
      <c r="K396" s="4">
        <f t="shared" si="79"/>
        <v>-229.09573242949884</v>
      </c>
      <c r="M396" s="3">
        <f t="shared" si="84"/>
        <v>23.460000000000786</v>
      </c>
      <c r="N396">
        <f t="shared" si="85"/>
        <v>114.53999999999942</v>
      </c>
      <c r="O396">
        <f t="shared" si="86"/>
        <v>-5.4619731964056228</v>
      </c>
      <c r="P396">
        <f t="shared" si="80"/>
        <v>-215.48327039618596</v>
      </c>
      <c r="Q396">
        <f t="shared" si="87"/>
        <v>0.46656425532543011</v>
      </c>
      <c r="R396">
        <f t="shared" si="88"/>
        <v>5.7111835685361712</v>
      </c>
      <c r="S396" s="4">
        <f t="shared" si="89"/>
        <v>647.26996907631747</v>
      </c>
    </row>
    <row r="397" spans="1:19" x14ac:dyDescent="0.5">
      <c r="A397" s="3"/>
      <c r="C397">
        <f t="shared" si="81"/>
        <v>115.22999999999942</v>
      </c>
      <c r="D397" s="23">
        <f t="shared" si="75"/>
        <v>12.065183576210108</v>
      </c>
      <c r="E397" s="92">
        <f t="shared" si="82"/>
        <v>0</v>
      </c>
      <c r="F397" s="3">
        <f t="shared" si="83"/>
        <v>-5.3137523610694597</v>
      </c>
      <c r="G397" s="4">
        <f t="shared" si="76"/>
        <v>-216.55569005580503</v>
      </c>
      <c r="I397" s="25">
        <f t="shared" si="77"/>
        <v>-5.7491252082400024</v>
      </c>
      <c r="J397">
        <f t="shared" si="78"/>
        <v>-0.4353728471705427</v>
      </c>
      <c r="K397" s="4">
        <f t="shared" si="79"/>
        <v>-230.47162648655885</v>
      </c>
      <c r="M397" s="3">
        <f t="shared" si="84"/>
        <v>22.770000000000785</v>
      </c>
      <c r="N397">
        <f t="shared" si="85"/>
        <v>115.22999999999942</v>
      </c>
      <c r="O397">
        <f t="shared" si="86"/>
        <v>-5.3132897375309796</v>
      </c>
      <c r="P397">
        <f t="shared" si="80"/>
        <v>-216.54928617470981</v>
      </c>
      <c r="Q397">
        <f t="shared" si="87"/>
        <v>0.4626235384801447</v>
      </c>
      <c r="R397">
        <f t="shared" si="88"/>
        <v>6.403881095224051</v>
      </c>
      <c r="S397" s="4">
        <f t="shared" si="89"/>
        <v>648.1546410456059</v>
      </c>
    </row>
    <row r="398" spans="1:19" x14ac:dyDescent="0.5">
      <c r="A398" s="3"/>
      <c r="C398">
        <f t="shared" si="81"/>
        <v>115.91999999999942</v>
      </c>
      <c r="D398" s="23">
        <f t="shared" si="75"/>
        <v>12.204374079344875</v>
      </c>
      <c r="E398" s="92">
        <f t="shared" si="82"/>
        <v>0</v>
      </c>
      <c r="F398" s="3">
        <f t="shared" si="83"/>
        <v>-5.1643289325951489</v>
      </c>
      <c r="G398" s="4">
        <f t="shared" si="76"/>
        <v>-217.62095823242689</v>
      </c>
      <c r="I398" s="25">
        <f t="shared" si="77"/>
        <v>-5.5900997831486166</v>
      </c>
      <c r="J398">
        <f t="shared" si="78"/>
        <v>-0.42577085055346764</v>
      </c>
      <c r="K398" s="4">
        <f t="shared" si="79"/>
        <v>-231.84752054274628</v>
      </c>
      <c r="M398" s="3">
        <f t="shared" si="84"/>
        <v>22.080000000000783</v>
      </c>
      <c r="N398">
        <f t="shared" si="85"/>
        <v>115.91999999999942</v>
      </c>
      <c r="O398">
        <f t="shared" si="86"/>
        <v>-5.1638707277348317</v>
      </c>
      <c r="P398">
        <f t="shared" si="80"/>
        <v>-217.61384693892325</v>
      </c>
      <c r="Q398">
        <f t="shared" si="87"/>
        <v>0.45820486031722396</v>
      </c>
      <c r="R398">
        <f t="shared" si="88"/>
        <v>7.1112935036410363</v>
      </c>
      <c r="S398" s="4">
        <f t="shared" si="89"/>
        <v>649.03979982796216</v>
      </c>
    </row>
    <row r="399" spans="1:19" x14ac:dyDescent="0.5">
      <c r="A399" s="3"/>
      <c r="C399">
        <f t="shared" si="81"/>
        <v>116.60999999999942</v>
      </c>
      <c r="D399" s="23">
        <f t="shared" si="75"/>
        <v>12.34429961755615</v>
      </c>
      <c r="E399" s="92">
        <f t="shared" si="82"/>
        <v>0</v>
      </c>
      <c r="F399" s="3">
        <f t="shared" si="83"/>
        <v>-5.0141704690443287</v>
      </c>
      <c r="G399" s="4">
        <f t="shared" si="76"/>
        <v>-218.6847893863015</v>
      </c>
      <c r="I399" s="25">
        <f t="shared" si="77"/>
        <v>-5.4301249911077321</v>
      </c>
      <c r="J399">
        <f t="shared" si="78"/>
        <v>-0.41595452206340333</v>
      </c>
      <c r="K399" s="4">
        <f t="shared" si="79"/>
        <v>-233.22358331590445</v>
      </c>
      <c r="M399" s="3">
        <f t="shared" si="84"/>
        <v>21.390000000000782</v>
      </c>
      <c r="N399">
        <f t="shared" si="85"/>
        <v>116.60999999999942</v>
      </c>
      <c r="O399">
        <f t="shared" si="86"/>
        <v>-5.0137171709767614</v>
      </c>
      <c r="P399">
        <f t="shared" si="80"/>
        <v>-218.67695585794931</v>
      </c>
      <c r="Q399">
        <f t="shared" si="87"/>
        <v>0.45329806756733149</v>
      </c>
      <c r="R399">
        <f t="shared" si="88"/>
        <v>7.8335283521937527</v>
      </c>
      <c r="S399" s="4">
        <f t="shared" si="89"/>
        <v>649.92546628600155</v>
      </c>
    </row>
    <row r="400" spans="1:19" x14ac:dyDescent="0.5">
      <c r="A400" s="3"/>
      <c r="C400">
        <f t="shared" si="81"/>
        <v>117.29999999999941</v>
      </c>
      <c r="D400" s="23">
        <f t="shared" si="75"/>
        <v>12.484959199298533</v>
      </c>
      <c r="E400" s="92">
        <f t="shared" si="82"/>
        <v>0</v>
      </c>
      <c r="F400" s="3">
        <f t="shared" si="83"/>
        <v>-4.8632779619624014</v>
      </c>
      <c r="G400" s="4">
        <f t="shared" si="76"/>
        <v>-219.74718678380094</v>
      </c>
      <c r="I400" s="25">
        <f t="shared" si="77"/>
        <v>-5.2692007157020271</v>
      </c>
      <c r="J400">
        <f t="shared" si="78"/>
        <v>-0.40592275373962572</v>
      </c>
      <c r="K400" s="4">
        <f t="shared" si="79"/>
        <v>-234.59947737033093</v>
      </c>
      <c r="M400" s="3">
        <f t="shared" si="84"/>
        <v>20.700000000000781</v>
      </c>
      <c r="N400">
        <f t="shared" si="85"/>
        <v>117.29999999999941</v>
      </c>
      <c r="O400">
        <f t="shared" si="86"/>
        <v>-4.8628300690296555</v>
      </c>
      <c r="P400">
        <f t="shared" si="80"/>
        <v>-219.73861605714569</v>
      </c>
      <c r="Q400">
        <f t="shared" si="87"/>
        <v>0.44789293274583031</v>
      </c>
      <c r="R400">
        <f t="shared" si="88"/>
        <v>8.5707266552503825</v>
      </c>
      <c r="S400" s="4">
        <f t="shared" si="89"/>
        <v>650.81160622274501</v>
      </c>
    </row>
    <row r="401" spans="1:19" x14ac:dyDescent="0.5">
      <c r="A401" s="3"/>
      <c r="C401">
        <f t="shared" si="81"/>
        <v>117.98999999999941</v>
      </c>
      <c r="D401" s="23">
        <f t="shared" si="75"/>
        <v>12.626351835280417</v>
      </c>
      <c r="E401" s="92">
        <f t="shared" si="82"/>
        <v>0</v>
      </c>
      <c r="F401" s="3">
        <f t="shared" si="83"/>
        <v>-4.7116524006409719</v>
      </c>
      <c r="G401" s="4">
        <f t="shared" si="76"/>
        <v>-220.80815368096106</v>
      </c>
      <c r="I401" s="25">
        <f t="shared" si="77"/>
        <v>-5.1073270733468235</v>
      </c>
      <c r="J401">
        <f t="shared" si="78"/>
        <v>-0.39567467270585155</v>
      </c>
      <c r="K401" s="4">
        <f t="shared" si="79"/>
        <v>-235.97545578279332</v>
      </c>
      <c r="M401" s="3">
        <f t="shared" si="84"/>
        <v>20.01000000000078</v>
      </c>
      <c r="N401">
        <f t="shared" si="85"/>
        <v>117.98999999999941</v>
      </c>
      <c r="O401">
        <f t="shared" si="86"/>
        <v>-4.7112104215099038</v>
      </c>
      <c r="P401">
        <f t="shared" si="80"/>
        <v>-220.79883070820992</v>
      </c>
      <c r="Q401">
        <f t="shared" si="87"/>
        <v>0.44197913106813758</v>
      </c>
      <c r="R401">
        <f t="shared" si="88"/>
        <v>9.3229727511356941</v>
      </c>
      <c r="S401" s="4">
        <f t="shared" si="89"/>
        <v>651.69824847554185</v>
      </c>
    </row>
    <row r="402" spans="1:19" x14ac:dyDescent="0.5">
      <c r="A402" s="3"/>
      <c r="C402">
        <f t="shared" si="81"/>
        <v>118.67999999999941</v>
      </c>
      <c r="D402" s="23">
        <f t="shared" si="75"/>
        <v>12.768476538456865</v>
      </c>
      <c r="E402" s="92">
        <f t="shared" si="82"/>
        <v>0</v>
      </c>
      <c r="F402" s="3">
        <f t="shared" si="83"/>
        <v>-4.5592947721249804</v>
      </c>
      <c r="G402" s="4">
        <f t="shared" si="76"/>
        <v>-221.86769332359714</v>
      </c>
      <c r="I402" s="25">
        <f t="shared" si="77"/>
        <v>-4.9445040058344603</v>
      </c>
      <c r="J402">
        <f t="shared" si="78"/>
        <v>-0.3852092337094799</v>
      </c>
      <c r="K402" s="4">
        <f t="shared" si="79"/>
        <v>-237.35134983543804</v>
      </c>
      <c r="M402" s="3">
        <f t="shared" si="84"/>
        <v>19.320000000000778</v>
      </c>
      <c r="N402">
        <f t="shared" si="85"/>
        <v>118.67999999999941</v>
      </c>
      <c r="O402">
        <f t="shared" si="86"/>
        <v>-4.5588592258454241</v>
      </c>
      <c r="P402">
        <f t="shared" si="80"/>
        <v>-221.85760292620199</v>
      </c>
      <c r="Q402">
        <f t="shared" si="87"/>
        <v>0.43554627955622038</v>
      </c>
      <c r="R402">
        <f t="shared" si="88"/>
        <v>10.090397395146056</v>
      </c>
      <c r="S402" s="4">
        <f t="shared" si="89"/>
        <v>652.58538567464609</v>
      </c>
    </row>
    <row r="403" spans="1:19" x14ac:dyDescent="0.5">
      <c r="A403" s="3"/>
      <c r="C403">
        <f t="shared" si="81"/>
        <v>119.36999999999941</v>
      </c>
      <c r="D403" s="23">
        <f t="shared" si="75"/>
        <v>12.911332324022545</v>
      </c>
      <c r="E403" s="92">
        <f t="shared" si="82"/>
        <v>0</v>
      </c>
      <c r="F403" s="3">
        <f t="shared" si="83"/>
        <v>-4.4062060612197538</v>
      </c>
      <c r="G403" s="4">
        <f t="shared" si="76"/>
        <v>-222.92580894729628</v>
      </c>
      <c r="I403" s="25">
        <f t="shared" si="77"/>
        <v>-4.7807315713725984</v>
      </c>
      <c r="J403">
        <f t="shared" si="78"/>
        <v>-0.37452551015284463</v>
      </c>
      <c r="K403" s="4">
        <f t="shared" si="79"/>
        <v>-238.72732824610821</v>
      </c>
      <c r="M403" s="3">
        <f t="shared" si="84"/>
        <v>18.630000000000777</v>
      </c>
      <c r="N403">
        <f t="shared" si="85"/>
        <v>119.36999999999941</v>
      </c>
      <c r="O403">
        <f t="shared" si="86"/>
        <v>-4.4057774773147429</v>
      </c>
      <c r="P403">
        <f t="shared" si="80"/>
        <v>-222.91493582875646</v>
      </c>
      <c r="Q403">
        <f t="shared" si="87"/>
        <v>0.42858390501088195</v>
      </c>
      <c r="R403">
        <f t="shared" si="88"/>
        <v>10.87311853981987</v>
      </c>
      <c r="S403" s="4">
        <f t="shared" si="89"/>
        <v>653.47301676589586</v>
      </c>
    </row>
    <row r="404" spans="1:19" x14ac:dyDescent="0.5">
      <c r="A404" s="3"/>
      <c r="C404">
        <f t="shared" si="81"/>
        <v>120.05999999999941</v>
      </c>
      <c r="D404" s="23">
        <f t="shared" si="75"/>
        <v>13.054918209404692</v>
      </c>
      <c r="E404" s="92">
        <f t="shared" si="82"/>
        <v>0</v>
      </c>
      <c r="F404" s="3">
        <f t="shared" si="83"/>
        <v>-4.2523872504980638</v>
      </c>
      <c r="G404" s="4">
        <f t="shared" si="76"/>
        <v>-223.98250377747786</v>
      </c>
      <c r="I404" s="25">
        <f t="shared" si="77"/>
        <v>-4.616009711753577</v>
      </c>
      <c r="J404">
        <f t="shared" si="78"/>
        <v>-0.36362246125551323</v>
      </c>
      <c r="K404" s="4">
        <f t="shared" si="79"/>
        <v>-240.10322229695038</v>
      </c>
      <c r="M404" s="3">
        <f t="shared" si="84"/>
        <v>17.940000000000776</v>
      </c>
      <c r="N404">
        <f t="shared" si="85"/>
        <v>120.05999999999941</v>
      </c>
      <c r="O404">
        <f t="shared" si="86"/>
        <v>-4.2519661690452182</v>
      </c>
      <c r="P404">
        <f t="shared" si="80"/>
        <v>-223.9708325257844</v>
      </c>
      <c r="Q404">
        <f t="shared" si="87"/>
        <v>0.42108145284558418</v>
      </c>
      <c r="R404">
        <f t="shared" si="88"/>
        <v>11.671251693456952</v>
      </c>
      <c r="S404" s="4">
        <f t="shared" si="89"/>
        <v>654.36113431603928</v>
      </c>
    </row>
    <row r="405" spans="1:19" x14ac:dyDescent="0.5">
      <c r="A405" s="3"/>
      <c r="C405">
        <f t="shared" si="81"/>
        <v>120.7499999999994</v>
      </c>
      <c r="D405" s="23">
        <f t="shared" si="75"/>
        <v>13.199233214256068</v>
      </c>
      <c r="E405" s="92">
        <f t="shared" si="82"/>
        <v>0</v>
      </c>
      <c r="F405" s="3">
        <f t="shared" si="83"/>
        <v>-4.0978393203071422</v>
      </c>
      <c r="G405" s="4">
        <f t="shared" si="76"/>
        <v>-225.03778102947734</v>
      </c>
      <c r="I405" s="25">
        <f t="shared" si="77"/>
        <v>-4.4503384851850569</v>
      </c>
      <c r="J405">
        <f t="shared" si="78"/>
        <v>-0.35249916487791477</v>
      </c>
      <c r="K405" s="4">
        <f t="shared" si="79"/>
        <v>-241.47928506473139</v>
      </c>
      <c r="M405" s="3">
        <f t="shared" si="84"/>
        <v>17.250000000000774</v>
      </c>
      <c r="N405">
        <f t="shared" si="85"/>
        <v>120.7499999999994</v>
      </c>
      <c r="O405">
        <f t="shared" si="86"/>
        <v>-4.0974262920183691</v>
      </c>
      <c r="P405">
        <f t="shared" si="80"/>
        <v>-225.02529612977153</v>
      </c>
      <c r="Q405">
        <f t="shared" si="87"/>
        <v>0.4130282887730985</v>
      </c>
      <c r="R405">
        <f t="shared" si="88"/>
        <v>12.484899705810903</v>
      </c>
      <c r="S405" s="4">
        <f t="shared" si="89"/>
        <v>655.24975165935746</v>
      </c>
    </row>
    <row r="406" spans="1:19" x14ac:dyDescent="0.5">
      <c r="A406" s="3"/>
      <c r="C406">
        <f t="shared" si="81"/>
        <v>121.4399999999994</v>
      </c>
      <c r="D406" s="23">
        <f t="shared" si="75"/>
        <v>13.344276360448028</v>
      </c>
      <c r="E406" s="92">
        <f t="shared" si="82"/>
        <v>0</v>
      </c>
      <c r="F406" s="3">
        <f t="shared" si="83"/>
        <v>-3.942563248775639</v>
      </c>
      <c r="G406" s="4">
        <f t="shared" si="76"/>
        <v>-226.09164390851515</v>
      </c>
      <c r="I406" s="25">
        <f t="shared" si="77"/>
        <v>-4.2837177752517164</v>
      </c>
      <c r="J406">
        <f t="shared" si="78"/>
        <v>-0.34115452647607736</v>
      </c>
      <c r="K406" s="4">
        <f t="shared" si="79"/>
        <v>-242.85517911375007</v>
      </c>
      <c r="M406" s="3">
        <f t="shared" si="84"/>
        <v>16.560000000000773</v>
      </c>
      <c r="N406">
        <f t="shared" si="85"/>
        <v>121.4399999999994</v>
      </c>
      <c r="O406">
        <f t="shared" si="86"/>
        <v>-3.9421588350680992</v>
      </c>
      <c r="P406">
        <f t="shared" si="80"/>
        <v>-226.07832972231031</v>
      </c>
      <c r="Q406">
        <f t="shared" si="87"/>
        <v>0.4044137075398524</v>
      </c>
      <c r="R406">
        <f t="shared" si="88"/>
        <v>13.314186204837597</v>
      </c>
      <c r="S406" s="4">
        <f t="shared" si="89"/>
        <v>656.13886141652517</v>
      </c>
    </row>
    <row r="407" spans="1:19" x14ac:dyDescent="0.5">
      <c r="A407" s="3"/>
      <c r="C407">
        <f t="shared" si="81"/>
        <v>122.1299999999994</v>
      </c>
      <c r="D407" s="23">
        <f t="shared" si="75"/>
        <v>13.490046672063519</v>
      </c>
      <c r="E407" s="92">
        <f t="shared" si="82"/>
        <v>0</v>
      </c>
      <c r="F407" s="3">
        <f t="shared" si="83"/>
        <v>-3.786560011820602</v>
      </c>
      <c r="G407" s="4">
        <f t="shared" si="76"/>
        <v>-227.14409560981773</v>
      </c>
      <c r="I407" s="25">
        <f t="shared" si="77"/>
        <v>-4.1161476983688772</v>
      </c>
      <c r="J407">
        <f t="shared" si="78"/>
        <v>-0.32958768654827519</v>
      </c>
      <c r="K407" s="4">
        <f t="shared" si="79"/>
        <v>-244.23115752077314</v>
      </c>
      <c r="M407" s="3">
        <f t="shared" si="84"/>
        <v>15.870000000000774</v>
      </c>
      <c r="N407">
        <f t="shared" si="85"/>
        <v>122.1299999999994</v>
      </c>
      <c r="O407">
        <f t="shared" si="86"/>
        <v>-3.786164784902013</v>
      </c>
      <c r="P407">
        <f t="shared" si="80"/>
        <v>-227.12993638756768</v>
      </c>
      <c r="Q407">
        <f t="shared" si="87"/>
        <v>0.39522691858895342</v>
      </c>
      <c r="R407">
        <f t="shared" si="88"/>
        <v>14.159222250043513</v>
      </c>
      <c r="S407" s="4">
        <f t="shared" si="89"/>
        <v>657.02847708913703</v>
      </c>
    </row>
    <row r="408" spans="1:19" x14ac:dyDescent="0.5">
      <c r="A408" s="3"/>
      <c r="C408">
        <f t="shared" si="81"/>
        <v>122.8199999999994</v>
      </c>
      <c r="D408" s="23">
        <f t="shared" si="75"/>
        <v>13.636543175390205</v>
      </c>
      <c r="E408" s="92">
        <f t="shared" si="82"/>
        <v>0</v>
      </c>
      <c r="F408" s="3">
        <f t="shared" si="83"/>
        <v>-3.629830583154372</v>
      </c>
      <c r="G408" s="4">
        <f t="shared" si="76"/>
        <v>-228.19513931858822</v>
      </c>
      <c r="I408" s="25">
        <f t="shared" si="77"/>
        <v>-3.9476281963288784</v>
      </c>
      <c r="J408">
        <f t="shared" si="78"/>
        <v>-0.31779761317450639</v>
      </c>
      <c r="K408" s="4">
        <f t="shared" si="79"/>
        <v>-245.60705156794756</v>
      </c>
      <c r="M408" s="3">
        <f t="shared" si="84"/>
        <v>15.180000000000774</v>
      </c>
      <c r="N408">
        <f t="shared" si="85"/>
        <v>122.8199999999994</v>
      </c>
      <c r="O408">
        <f t="shared" si="86"/>
        <v>-3.6294451260996397</v>
      </c>
      <c r="P408">
        <f t="shared" si="80"/>
        <v>-228.18011917881736</v>
      </c>
      <c r="Q408">
        <f t="shared" si="87"/>
        <v>0.38545705473236325</v>
      </c>
      <c r="R408">
        <f t="shared" si="88"/>
        <v>15.020139770854257</v>
      </c>
      <c r="S408" s="4">
        <f t="shared" si="89"/>
        <v>657.91856712763683</v>
      </c>
    </row>
    <row r="409" spans="1:19" x14ac:dyDescent="0.5">
      <c r="A409" s="3"/>
      <c r="C409">
        <f t="shared" si="81"/>
        <v>123.50999999999939</v>
      </c>
      <c r="D409" s="23">
        <f t="shared" si="75"/>
        <v>13.783764898913532</v>
      </c>
      <c r="E409" s="92">
        <f t="shared" si="82"/>
        <v>0</v>
      </c>
      <c r="F409" s="3">
        <f t="shared" si="83"/>
        <v>-3.4723759342914997</v>
      </c>
      <c r="G409" s="4">
        <f t="shared" si="76"/>
        <v>-229.24477821015137</v>
      </c>
      <c r="I409" s="25">
        <f t="shared" si="77"/>
        <v>-3.778159327339381</v>
      </c>
      <c r="J409">
        <f t="shared" si="78"/>
        <v>-0.30578339304788127</v>
      </c>
      <c r="K409" s="4">
        <f t="shared" si="79"/>
        <v>-246.98302997311583</v>
      </c>
      <c r="M409" s="3">
        <f t="shared" si="84"/>
        <v>14.490000000000775</v>
      </c>
      <c r="N409">
        <f t="shared" si="85"/>
        <v>123.50999999999939</v>
      </c>
      <c r="O409">
        <f t="shared" si="86"/>
        <v>-3.4720008411337488</v>
      </c>
      <c r="P409">
        <f t="shared" si="80"/>
        <v>-229.22888119052411</v>
      </c>
      <c r="Q409">
        <f t="shared" si="87"/>
        <v>0.37509315775086094</v>
      </c>
      <c r="R409">
        <f t="shared" si="88"/>
        <v>15.897019627260534</v>
      </c>
      <c r="S409" s="4">
        <f t="shared" si="89"/>
        <v>658.80918063232684</v>
      </c>
    </row>
    <row r="410" spans="1:19" x14ac:dyDescent="0.5">
      <c r="A410" s="3"/>
      <c r="C410">
        <f t="shared" si="81"/>
        <v>124.19999999999939</v>
      </c>
      <c r="D410" s="23">
        <f t="shared" si="75"/>
        <v>13.931710873309926</v>
      </c>
      <c r="E410" s="92">
        <f t="shared" si="82"/>
        <v>0</v>
      </c>
      <c r="F410" s="3">
        <f t="shared" si="83"/>
        <v>-3.3141970345555611</v>
      </c>
      <c r="G410" s="4">
        <f t="shared" si="76"/>
        <v>-230.29301544988655</v>
      </c>
      <c r="I410" s="25">
        <f t="shared" si="77"/>
        <v>-3.607741033192724</v>
      </c>
      <c r="J410">
        <f t="shared" si="78"/>
        <v>-0.29354399863716285</v>
      </c>
      <c r="K410" s="4">
        <f t="shared" si="79"/>
        <v>-248.35892401842526</v>
      </c>
      <c r="M410" s="3">
        <f t="shared" si="84"/>
        <v>13.800000000000775</v>
      </c>
      <c r="N410">
        <f t="shared" si="85"/>
        <v>124.19999999999939</v>
      </c>
      <c r="O410">
        <f t="shared" si="86"/>
        <v>-3.3138329103419295</v>
      </c>
      <c r="P410">
        <f t="shared" si="80"/>
        <v>-230.27622542962189</v>
      </c>
      <c r="Q410">
        <f t="shared" si="87"/>
        <v>0.36412421363163361</v>
      </c>
      <c r="R410">
        <f t="shared" si="88"/>
        <v>16.790020264664918</v>
      </c>
      <c r="S410" s="4">
        <f t="shared" si="89"/>
        <v>659.70026008981506</v>
      </c>
    </row>
    <row r="411" spans="1:19" x14ac:dyDescent="0.5">
      <c r="A411" s="3"/>
      <c r="C411">
        <f t="shared" si="81"/>
        <v>124.88999999999939</v>
      </c>
      <c r="D411" s="23">
        <f t="shared" si="75"/>
        <v>14.080380131439922</v>
      </c>
      <c r="E411" s="92">
        <f t="shared" si="82"/>
        <v>0</v>
      </c>
      <c r="F411" s="3">
        <f t="shared" si="83"/>
        <v>-3.1552948510860204</v>
      </c>
      <c r="G411" s="4">
        <f t="shared" si="76"/>
        <v>-231.33985419333354</v>
      </c>
      <c r="I411" s="25">
        <f t="shared" si="77"/>
        <v>-3.4363733720965683</v>
      </c>
      <c r="J411">
        <f t="shared" si="78"/>
        <v>-0.28107852101054798</v>
      </c>
      <c r="K411" s="4">
        <f t="shared" si="79"/>
        <v>-249.73498678064146</v>
      </c>
      <c r="M411" s="3">
        <f t="shared" si="84"/>
        <v>13.110000000000776</v>
      </c>
      <c r="N411">
        <f t="shared" si="85"/>
        <v>124.88999999999939</v>
      </c>
      <c r="O411">
        <f t="shared" si="86"/>
        <v>-3.1549423119869857</v>
      </c>
      <c r="P411">
        <f t="shared" si="80"/>
        <v>-231.32215498542661</v>
      </c>
      <c r="Q411">
        <f t="shared" si="87"/>
        <v>0.35253909903465441</v>
      </c>
      <c r="R411">
        <f t="shared" si="88"/>
        <v>17.69920790692936</v>
      </c>
      <c r="S411" s="4">
        <f t="shared" si="89"/>
        <v>660.59185972904015</v>
      </c>
    </row>
    <row r="412" spans="1:19" x14ac:dyDescent="0.5">
      <c r="A412" s="3"/>
      <c r="C412">
        <f t="shared" si="81"/>
        <v>125.57999999999939</v>
      </c>
      <c r="D412" s="23">
        <f t="shared" si="75"/>
        <v>14.22977170834138</v>
      </c>
      <c r="E412" s="92">
        <f t="shared" si="82"/>
        <v>0</v>
      </c>
      <c r="F412" s="3">
        <f t="shared" si="83"/>
        <v>-2.9956703488450187</v>
      </c>
      <c r="G412" s="4">
        <f t="shared" si="76"/>
        <v>-232.38529758626083</v>
      </c>
      <c r="I412" s="25">
        <f t="shared" si="77"/>
        <v>-3.2640562276355922</v>
      </c>
      <c r="J412">
        <f t="shared" si="78"/>
        <v>-0.26838587879057352</v>
      </c>
      <c r="K412" s="4">
        <f t="shared" si="79"/>
        <v>-251.11088082406491</v>
      </c>
      <c r="M412" s="3">
        <f t="shared" si="84"/>
        <v>12.420000000000776</v>
      </c>
      <c r="N412">
        <f t="shared" si="85"/>
        <v>125.57999999999939</v>
      </c>
      <c r="O412">
        <f t="shared" si="86"/>
        <v>-2.9953300222000934</v>
      </c>
      <c r="P412">
        <f t="shared" si="80"/>
        <v>-232.36667285200011</v>
      </c>
      <c r="Q412">
        <f t="shared" si="87"/>
        <v>0.34032664492533726</v>
      </c>
      <c r="R412">
        <f t="shared" si="88"/>
        <v>18.624734260725972</v>
      </c>
      <c r="S412" s="4">
        <f t="shared" si="89"/>
        <v>661.48394786328618</v>
      </c>
    </row>
    <row r="413" spans="1:19" x14ac:dyDescent="0.5">
      <c r="A413" s="3"/>
      <c r="C413">
        <f t="shared" si="81"/>
        <v>126.26999999999938</v>
      </c>
      <c r="D413" s="23">
        <f t="shared" si="75"/>
        <v>14.379884641222736</v>
      </c>
      <c r="E413" s="92">
        <f t="shared" si="82"/>
        <v>0</v>
      </c>
      <c r="F413" s="3">
        <f t="shared" si="83"/>
        <v>-2.8353244906241168</v>
      </c>
      <c r="G413" s="4">
        <f t="shared" si="76"/>
        <v>-233.42934876461757</v>
      </c>
      <c r="I413" s="25">
        <f t="shared" si="77"/>
        <v>-3.0907897162251174</v>
      </c>
      <c r="J413">
        <f t="shared" si="78"/>
        <v>-0.2554652256010006</v>
      </c>
      <c r="K413" s="4">
        <f t="shared" si="79"/>
        <v>-252.48685922546102</v>
      </c>
      <c r="M413" s="3">
        <f t="shared" si="84"/>
        <v>11.730000000000777</v>
      </c>
      <c r="N413">
        <f t="shared" si="85"/>
        <v>126.26999999999938</v>
      </c>
      <c r="O413">
        <f t="shared" si="86"/>
        <v>-2.8349970150465253</v>
      </c>
      <c r="P413">
        <f t="shared" si="80"/>
        <v>-233.40978206459525</v>
      </c>
      <c r="Q413">
        <f t="shared" si="87"/>
        <v>0.32747557759149615</v>
      </c>
      <c r="R413">
        <f t="shared" si="88"/>
        <v>19.566700022323857</v>
      </c>
      <c r="S413" s="4">
        <f t="shared" si="89"/>
        <v>662.37654323095603</v>
      </c>
    </row>
    <row r="414" spans="1:19" x14ac:dyDescent="0.5">
      <c r="A414" s="3"/>
      <c r="C414">
        <f t="shared" si="81"/>
        <v>126.95999999999938</v>
      </c>
      <c r="D414" s="23">
        <f t="shared" ref="D414:D430" si="90">+($B$35*C414^2+$B$36*C414^3+$B$37*C414^4+$B$38*C414^5+$B$39*C414^6+$B$40*C414^7+$B$41*C414^8+$B$42*C414^9+$B$43*C414^10)*1000</f>
        <v>14.530717969456239</v>
      </c>
      <c r="E414" s="92">
        <f t="shared" si="82"/>
        <v>0</v>
      </c>
      <c r="F414" s="3">
        <f t="shared" si="83"/>
        <v>-2.6742582370510704</v>
      </c>
      <c r="G414" s="4">
        <f t="shared" ref="G414:G429" si="91">+ATAN((F414-F415)/(1000*$F$19))*1000000</f>
        <v>-234.47201085470888</v>
      </c>
      <c r="I414" s="25">
        <f t="shared" ref="I414:I430" si="92">(+I$25-(I$25^2-C414^2)^0.5)*1000-(+I$25-(I$25^2-C$30^2)^0.5)*1000</f>
        <v>-2.9165737796574831</v>
      </c>
      <c r="J414">
        <f t="shared" ref="J414:J430" si="93">+(I414-F414)</f>
        <v>-0.24231554260641275</v>
      </c>
      <c r="K414" s="4">
        <f t="shared" ref="K414:K429" si="94">+ATAN((I414-I415)/(1000*$F$19))*1000000</f>
        <v>-253.86266890805422</v>
      </c>
      <c r="M414" s="3">
        <f t="shared" si="84"/>
        <v>11.040000000000777</v>
      </c>
      <c r="N414">
        <f t="shared" si="85"/>
        <v>126.95999999999938</v>
      </c>
      <c r="O414">
        <f t="shared" si="86"/>
        <v>-2.6739442624972298</v>
      </c>
      <c r="P414">
        <f t="shared" ref="P414:P429" si="95">+ATAN((O414-O415)/(1000*$F$19))*1000000</f>
        <v>-234.45148561984843</v>
      </c>
      <c r="Q414">
        <f t="shared" si="87"/>
        <v>0.31397455384052364</v>
      </c>
      <c r="R414">
        <f t="shared" si="88"/>
        <v>20.525234860457431</v>
      </c>
      <c r="S414" s="4">
        <f t="shared" si="89"/>
        <v>663.26961883661363</v>
      </c>
    </row>
    <row r="415" spans="1:19" x14ac:dyDescent="0.5">
      <c r="A415" s="3"/>
      <c r="C415">
        <f t="shared" ref="C415:C430" si="96">+C414+$F$19</f>
        <v>127.64999999999938</v>
      </c>
      <c r="D415" s="23">
        <f t="shared" si="90"/>
        <v>14.682270734571279</v>
      </c>
      <c r="E415" s="92">
        <f t="shared" ref="E415:E430" si="97">IF($B$20="YES",($E$25*$F$18^2/16/$O$3/$O$24*C415^2-$E$25/24/$O$3/$O$24*C415^4)*1000,0)</f>
        <v>0</v>
      </c>
      <c r="F415" s="3">
        <f t="shared" ref="F415:F430" si="98">+D415-$D$30+($F$18/2+C415)/$F$18*($D$30-D$430)+E415-MAX($E$30,$E$430)</f>
        <v>-2.5124725465964839</v>
      </c>
      <c r="G415" s="4">
        <f t="shared" si="91"/>
        <v>-235.51328697309395</v>
      </c>
      <c r="I415" s="25">
        <f t="shared" si="92"/>
        <v>-2.741408534348011</v>
      </c>
      <c r="J415">
        <f t="shared" si="93"/>
        <v>-0.22893598775152713</v>
      </c>
      <c r="K415" s="4">
        <f t="shared" si="94"/>
        <v>-255.23881602537983</v>
      </c>
      <c r="M415" s="3">
        <f t="shared" ref="M415:M430" si="99">+M414-$F$19</f>
        <v>10.350000000000778</v>
      </c>
      <c r="N415">
        <f t="shared" ref="N415:N430" si="100">+N414+$F$19</f>
        <v>127.64999999999938</v>
      </c>
      <c r="O415">
        <f t="shared" ref="O415:O430" si="101">IF($O$9=0,(-$O$13*N415^3/6/$O$14+$O$12*N415^2/2/$O$14+$O$16*N415+$O$17)*1000,($O$18*(($O$14+$O$15*N415)/$O$15*LN($O$14+$O$15*N415)-N415)-$O$13*N415^2/(2*$O$15)+$O$16*N415+$O$17)*1000)</f>
        <v>-2.5121727344554756</v>
      </c>
      <c r="P415">
        <f t="shared" si="95"/>
        <v>-235.4917865478636</v>
      </c>
      <c r="Q415">
        <f t="shared" ref="Q415:Q430" si="102">+(O415-F415)*1000</f>
        <v>0.29981214100827103</v>
      </c>
      <c r="R415">
        <f t="shared" ref="R415:R429" si="103">+(P415-(G415))*1000</f>
        <v>21.500425230357223</v>
      </c>
      <c r="S415" s="4">
        <f t="shared" ref="S415:S430" si="104">ABS(1000/((P416-P415)/(N416-N415)))</f>
        <v>664.1632017273713</v>
      </c>
    </row>
    <row r="416" spans="1:19" x14ac:dyDescent="0.5">
      <c r="A416" s="3"/>
      <c r="C416">
        <f t="shared" si="96"/>
        <v>128.33999999999938</v>
      </c>
      <c r="D416" s="23">
        <f t="shared" si="90"/>
        <v>14.834541980247684</v>
      </c>
      <c r="E416" s="92">
        <f t="shared" si="97"/>
        <v>0</v>
      </c>
      <c r="F416" s="3">
        <f t="shared" si="98"/>
        <v>-2.3499683755805361</v>
      </c>
      <c r="G416" s="4">
        <f t="shared" si="91"/>
        <v>-236.5531802267563</v>
      </c>
      <c r="I416" s="25">
        <f t="shared" si="92"/>
        <v>-2.5652937474660575</v>
      </c>
      <c r="J416">
        <f t="shared" si="93"/>
        <v>-0.21532537188552148</v>
      </c>
      <c r="K416" s="4">
        <f t="shared" si="94"/>
        <v>-256.61462570604544</v>
      </c>
      <c r="M416" s="3">
        <f t="shared" si="99"/>
        <v>9.6600000000007782</v>
      </c>
      <c r="N416">
        <f t="shared" si="100"/>
        <v>128.33999999999938</v>
      </c>
      <c r="O416">
        <f t="shared" si="101"/>
        <v>-2.3496833987337595</v>
      </c>
      <c r="P416">
        <f t="shared" si="95"/>
        <v>-236.53068782725612</v>
      </c>
      <c r="Q416">
        <f t="shared" si="102"/>
        <v>0.28497684677653012</v>
      </c>
      <c r="R416">
        <f t="shared" si="103"/>
        <v>22.492399500180227</v>
      </c>
      <c r="S416" s="4">
        <f t="shared" si="104"/>
        <v>665.05728791023932</v>
      </c>
    </row>
    <row r="417" spans="1:19" x14ac:dyDescent="0.5">
      <c r="A417" s="3"/>
      <c r="C417">
        <f t="shared" si="96"/>
        <v>129.02999999999938</v>
      </c>
      <c r="D417" s="23">
        <f t="shared" si="90"/>
        <v>14.987530752309087</v>
      </c>
      <c r="E417" s="92">
        <f t="shared" si="97"/>
        <v>0</v>
      </c>
      <c r="F417" s="3">
        <f t="shared" si="98"/>
        <v>-2.1867466781795866</v>
      </c>
      <c r="G417" s="4">
        <f t="shared" si="91"/>
        <v>-237.59169371306191</v>
      </c>
      <c r="I417" s="25">
        <f t="shared" si="92"/>
        <v>-2.3882296518422663</v>
      </c>
      <c r="J417">
        <f t="shared" si="93"/>
        <v>-0.20148297366267975</v>
      </c>
      <c r="K417" s="4">
        <f t="shared" si="94"/>
        <v>-257.99068846250935</v>
      </c>
      <c r="M417" s="3">
        <f t="shared" si="99"/>
        <v>8.9700000000007787</v>
      </c>
      <c r="N417">
        <f t="shared" si="100"/>
        <v>129.02999999999938</v>
      </c>
      <c r="O417">
        <f t="shared" si="101"/>
        <v>-2.1864772210893335</v>
      </c>
      <c r="P417">
        <f t="shared" si="95"/>
        <v>-237.56819243406696</v>
      </c>
      <c r="Q417">
        <f t="shared" si="102"/>
        <v>0.26945709025305575</v>
      </c>
      <c r="R417">
        <f t="shared" si="103"/>
        <v>23.501278994956465</v>
      </c>
      <c r="S417" s="4">
        <f t="shared" si="104"/>
        <v>665.95187502560248</v>
      </c>
    </row>
    <row r="418" spans="1:19" x14ac:dyDescent="0.5">
      <c r="A418" s="3"/>
      <c r="C418">
        <f t="shared" si="96"/>
        <v>129.71999999999937</v>
      </c>
      <c r="D418" s="23">
        <f t="shared" si="90"/>
        <v>15.141236098716318</v>
      </c>
      <c r="E418" s="92">
        <f t="shared" si="97"/>
        <v>0</v>
      </c>
      <c r="F418" s="3">
        <f t="shared" si="98"/>
        <v>-2.0228084064328122</v>
      </c>
      <c r="G418" s="4">
        <f t="shared" si="91"/>
        <v>-238.62883051986967</v>
      </c>
      <c r="I418" s="25">
        <f t="shared" si="92"/>
        <v>-2.2102160728536546</v>
      </c>
      <c r="J418">
        <f t="shared" si="93"/>
        <v>-0.18740766642084239</v>
      </c>
      <c r="K418" s="4">
        <f t="shared" si="94"/>
        <v>-259.36649814122677</v>
      </c>
      <c r="M418" s="3">
        <f t="shared" si="99"/>
        <v>8.2800000000007792</v>
      </c>
      <c r="N418">
        <f t="shared" si="100"/>
        <v>129.71999999999937</v>
      </c>
      <c r="O418">
        <f t="shared" si="101"/>
        <v>-2.022555165225981</v>
      </c>
      <c r="P418">
        <f t="shared" si="95"/>
        <v>-238.60430333918825</v>
      </c>
      <c r="Q418">
        <f t="shared" si="102"/>
        <v>0.25324120683123397</v>
      </c>
      <c r="R418">
        <f t="shared" si="103"/>
        <v>24.527180681417349</v>
      </c>
      <c r="S418" s="4">
        <f t="shared" si="104"/>
        <v>666.84695241457473</v>
      </c>
    </row>
    <row r="419" spans="1:19" x14ac:dyDescent="0.5">
      <c r="A419" s="3"/>
      <c r="C419">
        <f t="shared" si="96"/>
        <v>130.40999999999937</v>
      </c>
      <c r="D419" s="23">
        <f t="shared" si="90"/>
        <v>15.295657069560818</v>
      </c>
      <c r="E419" s="92">
        <f t="shared" si="97"/>
        <v>0</v>
      </c>
      <c r="F419" s="3">
        <f t="shared" si="98"/>
        <v>-1.8581545102487671</v>
      </c>
      <c r="G419" s="4">
        <f t="shared" si="91"/>
        <v>-239.66459372551284</v>
      </c>
      <c r="I419" s="25">
        <f t="shared" si="92"/>
        <v>-2.0312531851232052</v>
      </c>
      <c r="J419">
        <f t="shared" si="93"/>
        <v>-0.17309867487443809</v>
      </c>
      <c r="K419" s="4">
        <f t="shared" si="94"/>
        <v>-260.74256089573157</v>
      </c>
      <c r="M419" s="3">
        <f t="shared" si="99"/>
        <v>7.5900000000007797</v>
      </c>
      <c r="N419">
        <f t="shared" si="100"/>
        <v>130.40999999999937</v>
      </c>
      <c r="O419">
        <f t="shared" si="101"/>
        <v>-1.8579181927975696</v>
      </c>
      <c r="P419">
        <f t="shared" si="95"/>
        <v>-239.6390235212354</v>
      </c>
      <c r="Q419">
        <f t="shared" si="102"/>
        <v>0.23631745119745418</v>
      </c>
      <c r="R419">
        <f t="shared" si="103"/>
        <v>25.570204277443054</v>
      </c>
      <c r="S419" s="4">
        <f t="shared" si="104"/>
        <v>667.74253261605998</v>
      </c>
    </row>
    <row r="420" spans="1:19" x14ac:dyDescent="0.5">
      <c r="A420" s="3"/>
      <c r="C420">
        <f t="shared" si="96"/>
        <v>131.09999999999937</v>
      </c>
      <c r="D420" s="23">
        <f t="shared" si="90"/>
        <v>15.450792717058086</v>
      </c>
      <c r="E420" s="92">
        <f t="shared" si="97"/>
        <v>0</v>
      </c>
      <c r="F420" s="3">
        <f t="shared" si="98"/>
        <v>-1.6927859374119549</v>
      </c>
      <c r="G420" s="4">
        <f t="shared" si="91"/>
        <v>-240.69898639888308</v>
      </c>
      <c r="I420" s="25">
        <f t="shared" si="92"/>
        <v>-1.8513408140279353</v>
      </c>
      <c r="J420">
        <f t="shared" si="93"/>
        <v>-0.15855487661598033</v>
      </c>
      <c r="K420" s="4">
        <f t="shared" si="94"/>
        <v>-262.11845493140282</v>
      </c>
      <c r="M420" s="3">
        <f t="shared" si="99"/>
        <v>6.9000000000007802</v>
      </c>
      <c r="N420">
        <f t="shared" si="100"/>
        <v>131.09999999999937</v>
      </c>
      <c r="O420">
        <f t="shared" si="101"/>
        <v>-1.6925672634027222</v>
      </c>
      <c r="P420">
        <f t="shared" si="95"/>
        <v>-240.67235593050509</v>
      </c>
      <c r="Q420">
        <f t="shared" si="102"/>
        <v>0.21867400923269997</v>
      </c>
      <c r="R420">
        <f t="shared" si="103"/>
        <v>26.630468377987881</v>
      </c>
      <c r="S420" s="4">
        <f t="shared" si="104"/>
        <v>668.63862498998162</v>
      </c>
    </row>
    <row r="421" spans="1:19" x14ac:dyDescent="0.5">
      <c r="A421" s="3"/>
      <c r="C421">
        <f t="shared" si="96"/>
        <v>131.78999999999937</v>
      </c>
      <c r="D421" s="23">
        <f t="shared" si="90"/>
        <v>15.606642095541151</v>
      </c>
      <c r="E421" s="92">
        <f t="shared" si="97"/>
        <v>0</v>
      </c>
      <c r="F421" s="3">
        <f t="shared" si="98"/>
        <v>-1.526703633589344</v>
      </c>
      <c r="G421" s="4">
        <f t="shared" si="91"/>
        <v>-241.73201159944449</v>
      </c>
      <c r="I421" s="25">
        <f t="shared" si="92"/>
        <v>-1.6704790759831667</v>
      </c>
      <c r="J421">
        <f t="shared" si="93"/>
        <v>-0.14377544239382267</v>
      </c>
      <c r="K421" s="4">
        <f t="shared" si="94"/>
        <v>-263.49451768392765</v>
      </c>
      <c r="M421" s="3">
        <f t="shared" si="99"/>
        <v>6.2100000000007807</v>
      </c>
      <c r="N421">
        <f t="shared" si="100"/>
        <v>131.78999999999937</v>
      </c>
      <c r="O421">
        <f t="shared" si="101"/>
        <v>-1.5265033346043566</v>
      </c>
      <c r="P421">
        <f t="shared" si="95"/>
        <v>-241.70430349412413</v>
      </c>
      <c r="Q421">
        <f t="shared" si="102"/>
        <v>0.20029898498741261</v>
      </c>
      <c r="R421">
        <f t="shared" si="103"/>
        <v>27.70810532035739</v>
      </c>
      <c r="S421" s="4">
        <f t="shared" si="104"/>
        <v>669.53520054980106</v>
      </c>
    </row>
    <row r="422" spans="1:19" x14ac:dyDescent="0.5">
      <c r="A422" s="3"/>
      <c r="C422">
        <f t="shared" si="96"/>
        <v>132.47999999999936</v>
      </c>
      <c r="D422" s="23">
        <f t="shared" si="90"/>
        <v>15.76320426145408</v>
      </c>
      <c r="E422" s="92">
        <f t="shared" si="97"/>
        <v>0</v>
      </c>
      <c r="F422" s="3">
        <f t="shared" si="98"/>
        <v>-1.3599085423368722</v>
      </c>
      <c r="G422" s="4">
        <f t="shared" si="91"/>
        <v>-242.76367237735138</v>
      </c>
      <c r="I422" s="25">
        <f t="shared" si="92"/>
        <v>-1.4886678545735776</v>
      </c>
      <c r="J422">
        <f t="shared" si="93"/>
        <v>-0.12875931223670545</v>
      </c>
      <c r="K422" s="4">
        <f t="shared" si="94"/>
        <v>-264.87032735868576</v>
      </c>
      <c r="M422" s="3">
        <f t="shared" si="99"/>
        <v>5.5200000000007812</v>
      </c>
      <c r="N422">
        <f t="shared" si="100"/>
        <v>132.47999999999936</v>
      </c>
      <c r="O422">
        <f t="shared" si="101"/>
        <v>-1.3597273619456729</v>
      </c>
      <c r="P422">
        <f t="shared" si="95"/>
        <v>-242.73486917526142</v>
      </c>
      <c r="Q422">
        <f t="shared" si="102"/>
        <v>0.18118039119929819</v>
      </c>
      <c r="R422">
        <f t="shared" si="103"/>
        <v>28.803202089960678</v>
      </c>
      <c r="S422" s="4">
        <f t="shared" si="104"/>
        <v>670.43228536141339</v>
      </c>
    </row>
    <row r="423" spans="1:19" x14ac:dyDescent="0.5">
      <c r="A423" s="3"/>
      <c r="C423">
        <f t="shared" si="96"/>
        <v>133.16999999999936</v>
      </c>
      <c r="D423" s="23">
        <f t="shared" si="90"/>
        <v>15.920478273345536</v>
      </c>
      <c r="E423" s="92">
        <f t="shared" si="97"/>
        <v>0</v>
      </c>
      <c r="F423" s="3">
        <f t="shared" si="98"/>
        <v>-1.1924016051058706</v>
      </c>
      <c r="G423" s="4">
        <f t="shared" si="91"/>
        <v>-243.79397177334147</v>
      </c>
      <c r="I423" s="25">
        <f t="shared" si="92"/>
        <v>-1.3059073244221509</v>
      </c>
      <c r="J423">
        <f t="shared" si="93"/>
        <v>-0.11350571931628028</v>
      </c>
      <c r="K423" s="4">
        <f t="shared" si="94"/>
        <v>-266.24630575028692</v>
      </c>
      <c r="M423" s="3">
        <f t="shared" si="99"/>
        <v>4.8300000000007817</v>
      </c>
      <c r="N423">
        <f t="shared" si="100"/>
        <v>133.16999999999936</v>
      </c>
      <c r="O423">
        <f t="shared" si="101"/>
        <v>-1.1922402989252845</v>
      </c>
      <c r="P423">
        <f t="shared" si="95"/>
        <v>-243.76405588817164</v>
      </c>
      <c r="Q423">
        <f t="shared" si="102"/>
        <v>0.16130618058607382</v>
      </c>
      <c r="R423">
        <f t="shared" si="103"/>
        <v>29.915885169828016</v>
      </c>
      <c r="S423" s="4">
        <f t="shared" si="104"/>
        <v>671.32988393291703</v>
      </c>
    </row>
    <row r="424" spans="1:19" x14ac:dyDescent="0.5">
      <c r="A424" s="3"/>
      <c r="C424">
        <f t="shared" si="96"/>
        <v>133.85999999999936</v>
      </c>
      <c r="D424" s="23">
        <f t="shared" si="90"/>
        <v>16.078463191862301</v>
      </c>
      <c r="E424" s="92">
        <f t="shared" si="97"/>
        <v>0</v>
      </c>
      <c r="F424" s="3">
        <f t="shared" si="98"/>
        <v>-1.024183761249561</v>
      </c>
      <c r="G424" s="4">
        <f t="shared" si="91"/>
        <v>-244.8229128189875</v>
      </c>
      <c r="I424" s="25">
        <f t="shared" si="92"/>
        <v>-1.1221973691135645</v>
      </c>
      <c r="J424">
        <f t="shared" si="93"/>
        <v>-9.8013607864003482E-2</v>
      </c>
      <c r="K424" s="4">
        <f t="shared" si="94"/>
        <v>-267.62236849980269</v>
      </c>
      <c r="M424" s="3">
        <f t="shared" si="99"/>
        <v>4.1400000000007822</v>
      </c>
      <c r="N424">
        <f t="shared" si="100"/>
        <v>133.85999999999936</v>
      </c>
      <c r="O424">
        <f t="shared" si="101"/>
        <v>-1.0240430970309689</v>
      </c>
      <c r="P424">
        <f t="shared" si="95"/>
        <v>-244.79186653166289</v>
      </c>
      <c r="Q424">
        <f t="shared" si="102"/>
        <v>0.14066421859215694</v>
      </c>
      <c r="R424">
        <f t="shared" si="103"/>
        <v>31.046287324613786</v>
      </c>
      <c r="S424" s="4">
        <f t="shared" si="104"/>
        <v>672.22796037717353</v>
      </c>
    </row>
    <row r="425" spans="1:19" x14ac:dyDescent="0.5">
      <c r="A425" s="3"/>
      <c r="C425">
        <f t="shared" si="96"/>
        <v>134.54999999999936</v>
      </c>
      <c r="D425" s="23">
        <f t="shared" si="90"/>
        <v>16.237158079742937</v>
      </c>
      <c r="E425" s="92">
        <f t="shared" si="97"/>
        <v>0</v>
      </c>
      <c r="F425" s="3">
        <f t="shared" si="98"/>
        <v>-0.85525594802937999</v>
      </c>
      <c r="G425" s="4">
        <f t="shared" si="91"/>
        <v>-245.85049853649767</v>
      </c>
      <c r="I425" s="25">
        <f t="shared" si="92"/>
        <v>-0.93753793044015765</v>
      </c>
      <c r="J425">
        <f t="shared" si="93"/>
        <v>-8.2281982410777665E-2</v>
      </c>
      <c r="K425" s="4">
        <f t="shared" si="94"/>
        <v>-268.99817817153678</v>
      </c>
      <c r="M425" s="3">
        <f t="shared" si="99"/>
        <v>3.4500000000007822</v>
      </c>
      <c r="N425">
        <f t="shared" si="100"/>
        <v>134.54999999999936</v>
      </c>
      <c r="O425">
        <f t="shared" si="101"/>
        <v>-0.85513670575032563</v>
      </c>
      <c r="P425">
        <f t="shared" si="95"/>
        <v>-245.81830405088309</v>
      </c>
      <c r="Q425">
        <f t="shared" si="102"/>
        <v>0.11924227905435458</v>
      </c>
      <c r="R425">
        <f t="shared" si="103"/>
        <v>32.194485614581936</v>
      </c>
      <c r="S425" s="4">
        <f t="shared" si="104"/>
        <v>673.12656297104127</v>
      </c>
    </row>
    <row r="426" spans="1:19" x14ac:dyDescent="0.5">
      <c r="A426" s="3"/>
      <c r="C426">
        <f t="shared" si="96"/>
        <v>135.23999999999936</v>
      </c>
      <c r="D426" s="23">
        <f t="shared" si="90"/>
        <v>16.396562001811333</v>
      </c>
      <c r="E426" s="92">
        <f t="shared" si="97"/>
        <v>0</v>
      </c>
      <c r="F426" s="3">
        <f t="shared" si="98"/>
        <v>-0.68561910062144005</v>
      </c>
      <c r="G426" s="4">
        <f t="shared" si="91"/>
        <v>-246.87673193902859</v>
      </c>
      <c r="I426" s="25">
        <f t="shared" si="92"/>
        <v>-0.75192918302491307</v>
      </c>
      <c r="J426">
        <f t="shared" si="93"/>
        <v>-6.6310082403473025E-2</v>
      </c>
      <c r="K426" s="4">
        <f t="shared" si="94"/>
        <v>-270.37415656009779</v>
      </c>
      <c r="M426" s="3">
        <f t="shared" si="99"/>
        <v>2.7600000000007823</v>
      </c>
      <c r="N426">
        <f t="shared" si="100"/>
        <v>135.23999999999936</v>
      </c>
      <c r="O426">
        <f t="shared" si="101"/>
        <v>-0.68552207253880226</v>
      </c>
      <c r="P426">
        <f t="shared" si="95"/>
        <v>-246.84337130859831</v>
      </c>
      <c r="Q426">
        <f t="shared" si="102"/>
        <v>9.7028082637784507E-2</v>
      </c>
      <c r="R426">
        <f t="shared" si="103"/>
        <v>33.36063043028048</v>
      </c>
      <c r="S426" s="4">
        <f t="shared" si="104"/>
        <v>674.02566086263937</v>
      </c>
    </row>
    <row r="427" spans="1:19" x14ac:dyDescent="0.5">
      <c r="A427" s="3"/>
      <c r="C427">
        <f t="shared" si="96"/>
        <v>135.92999999999935</v>
      </c>
      <c r="D427" s="23">
        <f t="shared" si="90"/>
        <v>16.556674024970452</v>
      </c>
      <c r="E427" s="92">
        <f t="shared" si="97"/>
        <v>0</v>
      </c>
      <c r="F427" s="3">
        <f t="shared" si="98"/>
        <v>-0.5152741521227755</v>
      </c>
      <c r="G427" s="4">
        <f t="shared" si="91"/>
        <v>-247.90161603047139</v>
      </c>
      <c r="I427" s="25">
        <f t="shared" si="92"/>
        <v>-0.56537101045250893</v>
      </c>
      <c r="J427">
        <f t="shared" si="93"/>
        <v>-5.0096858329733429E-2</v>
      </c>
      <c r="K427" s="4">
        <f t="shared" si="94"/>
        <v>-271.75013494763499</v>
      </c>
      <c r="M427" s="3">
        <f t="shared" si="99"/>
        <v>2.0700000000007823</v>
      </c>
      <c r="N427">
        <f t="shared" si="100"/>
        <v>135.92999999999935</v>
      </c>
      <c r="O427">
        <f t="shared" si="101"/>
        <v>-0.51520014287653737</v>
      </c>
      <c r="P427">
        <f t="shared" si="95"/>
        <v>-247.8670712061911</v>
      </c>
      <c r="Q427">
        <f t="shared" si="102"/>
        <v>7.4009246238126991E-2</v>
      </c>
      <c r="R427">
        <f t="shared" si="103"/>
        <v>34.544824280288822</v>
      </c>
      <c r="S427" s="4">
        <f t="shared" si="104"/>
        <v>674.92525178347842</v>
      </c>
    </row>
    <row r="428" spans="1:19" x14ac:dyDescent="0.5">
      <c r="A428" s="3"/>
      <c r="C428">
        <f t="shared" si="96"/>
        <v>136.61999999999935</v>
      </c>
      <c r="D428" s="23">
        <f t="shared" si="90"/>
        <v>16.717493218195948</v>
      </c>
      <c r="E428" s="92">
        <f t="shared" si="97"/>
        <v>0</v>
      </c>
      <c r="F428" s="3">
        <f t="shared" si="98"/>
        <v>-0.34422203355773551</v>
      </c>
      <c r="G428" s="4">
        <f t="shared" si="91"/>
        <v>-248.92515380566064</v>
      </c>
      <c r="I428" s="25">
        <f t="shared" si="92"/>
        <v>-0.37786341272294521</v>
      </c>
      <c r="J428">
        <f t="shared" si="93"/>
        <v>-3.3641379165209706E-2</v>
      </c>
      <c r="K428" s="4">
        <f t="shared" si="94"/>
        <v>-273.12611333414327</v>
      </c>
      <c r="M428" s="3">
        <f t="shared" si="99"/>
        <v>1.3800000000007824</v>
      </c>
      <c r="N428">
        <f t="shared" si="100"/>
        <v>136.61999999999935</v>
      </c>
      <c r="O428">
        <f t="shared" si="101"/>
        <v>-0.34417186024171542</v>
      </c>
      <c r="P428">
        <f t="shared" si="95"/>
        <v>-248.88940663989533</v>
      </c>
      <c r="Q428">
        <f t="shared" si="102"/>
        <v>5.0173316020085679E-2</v>
      </c>
      <c r="R428">
        <f t="shared" si="103"/>
        <v>35.747165765315003</v>
      </c>
      <c r="S428" s="4">
        <f t="shared" si="104"/>
        <v>675.82535902477787</v>
      </c>
    </row>
    <row r="429" spans="1:19" x14ac:dyDescent="0.5">
      <c r="A429" s="3"/>
      <c r="C429">
        <f t="shared" si="96"/>
        <v>137.30999999999935</v>
      </c>
      <c r="D429" s="23">
        <f t="shared" si="90"/>
        <v>16.879018652529904</v>
      </c>
      <c r="E429" s="92">
        <f t="shared" si="97"/>
        <v>0</v>
      </c>
      <c r="F429" s="3">
        <f t="shared" si="98"/>
        <v>-0.17246367388423334</v>
      </c>
      <c r="G429" s="4">
        <f t="shared" si="91"/>
        <v>-249.94734825035306</v>
      </c>
      <c r="I429" s="25">
        <f t="shared" si="92"/>
        <v>-0.18940638983622193</v>
      </c>
      <c r="J429">
        <f t="shared" si="93"/>
        <v>-1.6942715951988596E-2</v>
      </c>
      <c r="K429" s="4">
        <f t="shared" si="94"/>
        <v>-274.50200736069479</v>
      </c>
      <c r="M429" s="3">
        <f t="shared" si="99"/>
        <v>0.69000000000078243</v>
      </c>
      <c r="N429">
        <f t="shared" si="100"/>
        <v>137.30999999999935</v>
      </c>
      <c r="O429">
        <f t="shared" si="101"/>
        <v>-0.17243816611411944</v>
      </c>
      <c r="P429">
        <f t="shared" si="95"/>
        <v>-249.91038046217935</v>
      </c>
      <c r="Q429">
        <f t="shared" si="102"/>
        <v>2.5507770113897266E-2</v>
      </c>
      <c r="R429">
        <f t="shared" si="103"/>
        <v>36.967788173711824</v>
      </c>
      <c r="S429" s="4">
        <f t="shared" si="104"/>
        <v>2.7609897545028952</v>
      </c>
    </row>
    <row r="430" spans="1:19" ht="14.7" thickBot="1" x14ac:dyDescent="0.55000000000000004">
      <c r="A430" s="5"/>
      <c r="B430" s="6"/>
      <c r="C430" s="6">
        <f t="shared" si="96"/>
        <v>137.99999999999935</v>
      </c>
      <c r="D430" s="24">
        <f t="shared" si="90"/>
        <v>17.041249401074584</v>
      </c>
      <c r="E430" s="92">
        <f t="shared" si="97"/>
        <v>0</v>
      </c>
      <c r="F430" s="3">
        <f t="shared" si="98"/>
        <v>-9.7699626167013776E-15</v>
      </c>
      <c r="G430" s="7"/>
      <c r="I430" s="26">
        <f t="shared" si="92"/>
        <v>0</v>
      </c>
      <c r="J430" s="6">
        <f t="shared" si="93"/>
        <v>9.7699626167013776E-15</v>
      </c>
      <c r="K430" s="7"/>
      <c r="M430" s="5">
        <f t="shared" si="99"/>
        <v>7.8248518775581033E-13</v>
      </c>
      <c r="N430" s="6">
        <f t="shared" si="100"/>
        <v>137.99999999999935</v>
      </c>
      <c r="O430" s="6">
        <f t="shared" si="101"/>
        <v>-5.3290705182007514E-12</v>
      </c>
      <c r="P430" s="6"/>
      <c r="Q430">
        <f t="shared" si="102"/>
        <v>-5.31930055558405E-9</v>
      </c>
      <c r="R430" s="6"/>
      <c r="S430" s="7" t="e">
        <f t="shared" si="104"/>
        <v>#DIV/0!</v>
      </c>
    </row>
  </sheetData>
  <dataConsolidate/>
  <mergeCells count="18">
    <mergeCell ref="K3:L3"/>
    <mergeCell ref="K2:L2"/>
    <mergeCell ref="A6:J6"/>
    <mergeCell ref="A1:J1"/>
    <mergeCell ref="A2:J2"/>
    <mergeCell ref="A3:J3"/>
    <mergeCell ref="A4:J4"/>
    <mergeCell ref="A5:J5"/>
    <mergeCell ref="K5:L5"/>
    <mergeCell ref="A14:G14"/>
    <mergeCell ref="A15:I15"/>
    <mergeCell ref="A16:H16"/>
    <mergeCell ref="A7:J7"/>
    <mergeCell ref="A8:J8"/>
    <mergeCell ref="A9:I9"/>
    <mergeCell ref="A11:J11"/>
    <mergeCell ref="A12:J12"/>
    <mergeCell ref="A13:J13"/>
  </mergeCells>
  <phoneticPr fontId="12" type="noConversion"/>
  <dataValidations count="2">
    <dataValidation type="list" allowBlank="1" showInputMessage="1" showErrorMessage="1" sqref="K3" xr:uid="{EF54FAAF-0291-4EFF-B3D9-2F5A13696B55}">
      <formula1>$Q$16:$Q$21</formula1>
    </dataValidation>
    <dataValidation type="list" allowBlank="1" showInputMessage="1" showErrorMessage="1" sqref="K5:L5" xr:uid="{2127BF6E-9605-43D1-B20F-E7357CDF94EF}">
      <formula1>$Q$11:$Q$12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5">
          <controlPr defaultSize="0" autoLine="0" r:id="rId5">
            <anchor moveWithCells="1">
              <from>
                <xdr:col>10</xdr:col>
                <xdr:colOff>29633</xdr:colOff>
                <xdr:row>5</xdr:row>
                <xdr:rowOff>105833</xdr:rowOff>
              </from>
              <to>
                <xdr:col>11</xdr:col>
                <xdr:colOff>351367</xdr:colOff>
                <xdr:row>7</xdr:row>
                <xdr:rowOff>25400</xdr:rowOff>
              </to>
            </anchor>
          </controlPr>
        </control>
      </mc:Choice>
      <mc:Fallback>
        <control shapeId="1030" r:id="rId4" name="CommandButton5"/>
      </mc:Fallback>
    </mc:AlternateContent>
    <mc:AlternateContent xmlns:mc="http://schemas.openxmlformats.org/markup-compatibility/2006">
      <mc:Choice Requires="x14">
        <control shapeId="1029" r:id="rId6" name="CommandButton4">
          <controlPr defaultSize="0" autoLine="0" r:id="rId7">
            <anchor moveWithCells="1">
              <from>
                <xdr:col>10</xdr:col>
                <xdr:colOff>29633</xdr:colOff>
                <xdr:row>7</xdr:row>
                <xdr:rowOff>29633</xdr:rowOff>
              </from>
              <to>
                <xdr:col>11</xdr:col>
                <xdr:colOff>351367</xdr:colOff>
                <xdr:row>8</xdr:row>
                <xdr:rowOff>135467</xdr:rowOff>
              </to>
            </anchor>
          </controlPr>
        </control>
      </mc:Choice>
      <mc:Fallback>
        <control shapeId="1029" r:id="rId6" name="CommandButton4"/>
      </mc:Fallback>
    </mc:AlternateContent>
    <mc:AlternateContent xmlns:mc="http://schemas.openxmlformats.org/markup-compatibility/2006">
      <mc:Choice Requires="x14">
        <control shapeId="1028" r:id="rId8" name="CommandButton3">
          <controlPr defaultSize="0" autoLine="0" r:id="rId9">
            <anchor moveWithCells="1">
              <from>
                <xdr:col>10</xdr:col>
                <xdr:colOff>29633</xdr:colOff>
                <xdr:row>8</xdr:row>
                <xdr:rowOff>105833</xdr:rowOff>
              </from>
              <to>
                <xdr:col>11</xdr:col>
                <xdr:colOff>351367</xdr:colOff>
                <xdr:row>10</xdr:row>
                <xdr:rowOff>12700</xdr:rowOff>
              </to>
            </anchor>
          </controlPr>
        </control>
      </mc:Choice>
      <mc:Fallback>
        <control shapeId="1028" r:id="rId8" name="CommandButton3"/>
      </mc:Fallback>
    </mc:AlternateContent>
    <mc:AlternateContent xmlns:mc="http://schemas.openxmlformats.org/markup-compatibility/2006">
      <mc:Choice Requires="x14">
        <control shapeId="1027" r:id="rId10" name="CommandButton2">
          <controlPr defaultSize="0" autoLine="0" r:id="rId11">
            <anchor moveWithCells="1">
              <from>
                <xdr:col>10</xdr:col>
                <xdr:colOff>29633</xdr:colOff>
                <xdr:row>10</xdr:row>
                <xdr:rowOff>0</xdr:rowOff>
              </from>
              <to>
                <xdr:col>11</xdr:col>
                <xdr:colOff>351367</xdr:colOff>
                <xdr:row>11</xdr:row>
                <xdr:rowOff>101600</xdr:rowOff>
              </to>
            </anchor>
          </controlPr>
        </control>
      </mc:Choice>
      <mc:Fallback>
        <control shapeId="1027" r:id="rId10" name="CommandButton2"/>
      </mc:Fallback>
    </mc:AlternateContent>
    <mc:AlternateContent xmlns:mc="http://schemas.openxmlformats.org/markup-compatibility/2006">
      <mc:Choice Requires="x14">
        <control shapeId="1026" r:id="rId12" name="CommandButton1">
          <controlPr defaultSize="0" autoLine="0" autoPict="0" r:id="rId13">
            <anchor moveWithCells="1">
              <from>
                <xdr:col>10</xdr:col>
                <xdr:colOff>0</xdr:colOff>
                <xdr:row>20</xdr:row>
                <xdr:rowOff>76200</xdr:rowOff>
              </from>
              <to>
                <xdr:col>10</xdr:col>
                <xdr:colOff>694267</xdr:colOff>
                <xdr:row>21</xdr:row>
                <xdr:rowOff>173567</xdr:rowOff>
              </to>
            </anchor>
          </controlPr>
        </control>
      </mc:Choice>
      <mc:Fallback>
        <control shapeId="1026" r:id="rId12" name="CommandButton1"/>
      </mc:Fallback>
    </mc:AlternateContent>
    <mc:AlternateContent xmlns:mc="http://schemas.openxmlformats.org/markup-compatibility/2006">
      <mc:Choice Requires="x14">
        <control shapeId="1031" r:id="rId14" name="CommandButton6">
          <controlPr defaultSize="0" autoLine="0" r:id="rId15">
            <anchor moveWithCells="1">
              <from>
                <xdr:col>10</xdr:col>
                <xdr:colOff>29633</xdr:colOff>
                <xdr:row>11</xdr:row>
                <xdr:rowOff>105833</xdr:rowOff>
              </from>
              <to>
                <xdr:col>11</xdr:col>
                <xdr:colOff>351367</xdr:colOff>
                <xdr:row>13</xdr:row>
                <xdr:rowOff>25400</xdr:rowOff>
              </to>
            </anchor>
          </controlPr>
        </control>
      </mc:Choice>
      <mc:Fallback>
        <control shapeId="1031" r:id="rId14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activeCell="V30" sqref="V30"/>
    </sheetView>
  </sheetViews>
  <sheetFormatPr defaultRowHeight="14.35" x14ac:dyDescent="0.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CALCULATIONS</vt:lpstr>
      <vt:lpstr>DERIVATION OF EQUATIONS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Fisher</dc:creator>
  <cp:lastModifiedBy>Shi, Xianbo</cp:lastModifiedBy>
  <cp:lastPrinted>2017-12-01T20:59:36Z</cp:lastPrinted>
  <dcterms:created xsi:type="dcterms:W3CDTF">2017-07-05T01:12:54Z</dcterms:created>
  <dcterms:modified xsi:type="dcterms:W3CDTF">2025-05-18T22:26:26Z</dcterms:modified>
</cp:coreProperties>
</file>